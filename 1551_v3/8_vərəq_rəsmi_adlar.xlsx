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lqar.behbudov\Desktop\"/>
    </mc:Choice>
  </mc:AlternateContent>
  <bookViews>
    <workbookView xWindow="-105" yWindow="-105" windowWidth="19425" windowHeight="10305" tabRatio="851" activeTab="3"/>
  </bookViews>
  <sheets>
    <sheet name="2.4.1.1." sheetId="1" r:id="rId1"/>
    <sheet name="2.4.1.2." sheetId="2" r:id="rId2"/>
    <sheet name="2.4.1.3." sheetId="3" r:id="rId3"/>
    <sheet name="2.4.1.4." sheetId="14" r:id="rId4"/>
    <sheet name="2.4.1.5.-7." sheetId="4" r:id="rId5"/>
    <sheet name="2.4.1.13.-14." sheetId="18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Print_Area" localSheetId="0">'2.4.1.1.'!$A$1:$E$14</definedName>
    <definedName name="_xlnm.Print_Area" localSheetId="5">'2.4.1.13.-14.'!$A$1:$E$36</definedName>
    <definedName name="_xlnm.Print_Area" localSheetId="1">'2.4.1.2.'!$A$1:$E$276</definedName>
    <definedName name="_xlnm.Print_Area" localSheetId="2">'2.4.1.3.'!$A$1:$E$51</definedName>
    <definedName name="_xlnm.Print_Area" localSheetId="3">'2.4.1.4.'!$A$1:$E$219</definedName>
    <definedName name="_xlnm.Print_Area" localSheetId="4">'2.4.1.5.-7.'!$A$1:$E$57</definedName>
    <definedName name="_xlnm.Print_Titles" localSheetId="0">'2.4.1.1.'!$2:$3</definedName>
    <definedName name="_xlnm.Print_Titles" localSheetId="1">'2.4.1.2.'!$2:$3</definedName>
    <definedName name="_xlnm.Print_Titles" localSheetId="2">'2.4.1.3.'!$2:$3</definedName>
    <definedName name="_xlnm.Print_Titles" localSheetId="3">'2.4.1.4.'!$2:$3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8" l="1"/>
  <c r="E26" i="18"/>
  <c r="E24" i="18"/>
  <c r="E22" i="18"/>
  <c r="E21" i="18"/>
  <c r="E20" i="18"/>
  <c r="E13" i="18"/>
  <c r="E12" i="18"/>
  <c r="E11" i="18"/>
  <c r="E9" i="18"/>
  <c r="E8" i="18"/>
  <c r="E7" i="18"/>
  <c r="E6" i="18"/>
  <c r="E5" i="18"/>
  <c r="E4" i="18"/>
  <c r="E53" i="4"/>
  <c r="E46" i="4"/>
  <c r="E45" i="4"/>
  <c r="E41" i="4"/>
  <c r="E40" i="4"/>
  <c r="E38" i="4"/>
  <c r="E36" i="4"/>
  <c r="E33" i="4"/>
  <c r="E16" i="4"/>
  <c r="E13" i="4"/>
  <c r="E10" i="4"/>
  <c r="E8" i="4"/>
  <c r="E28" i="4" s="1"/>
  <c r="E4" i="4"/>
  <c r="E219" i="14"/>
  <c r="E218" i="14"/>
  <c r="E217" i="14"/>
  <c r="E215" i="14"/>
  <c r="E214" i="14"/>
  <c r="E213" i="14"/>
  <c r="E212" i="14"/>
  <c r="E211" i="14"/>
  <c r="E210" i="14"/>
  <c r="E208" i="14"/>
  <c r="E206" i="14"/>
  <c r="E205" i="14"/>
  <c r="E204" i="14"/>
  <c r="E203" i="14"/>
  <c r="E202" i="14"/>
  <c r="E201" i="14"/>
  <c r="E200" i="14"/>
  <c r="E198" i="14"/>
  <c r="E196" i="14"/>
  <c r="E195" i="14"/>
  <c r="E194" i="14"/>
  <c r="E193" i="14"/>
  <c r="E192" i="14"/>
  <c r="E191" i="14"/>
  <c r="E190" i="14"/>
  <c r="E187" i="14"/>
  <c r="E186" i="14"/>
  <c r="F184" i="14"/>
  <c r="E184" i="14"/>
  <c r="F183" i="14"/>
  <c r="E183" i="14"/>
  <c r="F182" i="14"/>
  <c r="E182" i="14"/>
  <c r="F180" i="14"/>
  <c r="E180" i="14"/>
  <c r="B180" i="14"/>
  <c r="F179" i="14"/>
  <c r="E179" i="14"/>
  <c r="B179" i="14"/>
  <c r="F177" i="14"/>
  <c r="E177" i="14"/>
  <c r="F166" i="14"/>
  <c r="E166" i="14"/>
  <c r="F165" i="14"/>
  <c r="E165" i="14"/>
  <c r="F164" i="14"/>
  <c r="E164" i="14"/>
  <c r="F162" i="14"/>
  <c r="E162" i="14"/>
  <c r="F161" i="14"/>
  <c r="E161" i="14"/>
  <c r="F145" i="14"/>
  <c r="E145" i="14"/>
  <c r="F144" i="14"/>
  <c r="E144" i="14"/>
  <c r="F143" i="14"/>
  <c r="E143" i="14"/>
  <c r="F141" i="14"/>
  <c r="E141" i="14"/>
  <c r="F119" i="14"/>
  <c r="E119" i="14"/>
  <c r="F118" i="14"/>
  <c r="E118" i="14"/>
  <c r="F117" i="14"/>
  <c r="E117" i="14"/>
  <c r="F116" i="14"/>
  <c r="E116" i="14"/>
  <c r="F115" i="14"/>
  <c r="E115" i="14"/>
  <c r="F114" i="14"/>
  <c r="E114" i="14"/>
  <c r="F112" i="14"/>
  <c r="E112" i="14"/>
  <c r="F111" i="14"/>
  <c r="E111" i="14"/>
  <c r="F109" i="14"/>
  <c r="E109" i="14"/>
  <c r="F107" i="14"/>
  <c r="E107" i="14"/>
  <c r="F106" i="14"/>
  <c r="E106" i="14"/>
  <c r="F105" i="14"/>
  <c r="E105" i="14"/>
  <c r="F104" i="14"/>
  <c r="E104" i="14"/>
  <c r="F103" i="14"/>
  <c r="E103" i="14"/>
  <c r="F102" i="14"/>
  <c r="E102" i="14"/>
  <c r="F101" i="14"/>
  <c r="E101" i="14"/>
  <c r="F100" i="14"/>
  <c r="E100" i="14"/>
  <c r="F99" i="14"/>
  <c r="E99" i="14"/>
  <c r="F98" i="14"/>
  <c r="E98" i="14"/>
  <c r="F97" i="14"/>
  <c r="E97" i="14"/>
  <c r="F68" i="14"/>
  <c r="E68" i="14"/>
  <c r="F67" i="14"/>
  <c r="E67" i="14"/>
  <c r="F65" i="14"/>
  <c r="E65" i="14"/>
  <c r="F64" i="14"/>
  <c r="E64" i="14"/>
  <c r="F63" i="14"/>
  <c r="E63" i="14"/>
  <c r="F62" i="14"/>
  <c r="E62" i="14"/>
  <c r="F61" i="14"/>
  <c r="E61" i="14"/>
  <c r="F60" i="14"/>
  <c r="E60" i="14"/>
  <c r="F58" i="14"/>
  <c r="E58" i="14"/>
  <c r="F57" i="14"/>
  <c r="E57" i="14"/>
  <c r="F56" i="14"/>
  <c r="E56" i="14"/>
  <c r="F55" i="14"/>
  <c r="E55" i="14"/>
  <c r="F54" i="14"/>
  <c r="E54" i="14"/>
  <c r="F53" i="14"/>
  <c r="E53" i="14"/>
  <c r="F52" i="14"/>
  <c r="E52" i="14"/>
  <c r="F51" i="14"/>
  <c r="E51" i="14"/>
  <c r="F50" i="14"/>
  <c r="E50" i="14"/>
  <c r="F49" i="14"/>
  <c r="E49" i="14"/>
  <c r="F48" i="14"/>
  <c r="E48" i="14"/>
  <c r="F45" i="14"/>
  <c r="E45" i="14"/>
  <c r="F44" i="14"/>
  <c r="E44" i="14"/>
  <c r="F43" i="14"/>
  <c r="E43" i="14"/>
  <c r="F42" i="14"/>
  <c r="E42" i="14"/>
  <c r="F40" i="14"/>
  <c r="E40" i="14"/>
  <c r="F39" i="14"/>
  <c r="E39" i="14"/>
  <c r="F35" i="14"/>
  <c r="F32" i="14"/>
  <c r="E32" i="14"/>
  <c r="F31" i="14"/>
  <c r="E31" i="14"/>
  <c r="F30" i="14"/>
  <c r="E30" i="14"/>
  <c r="F29" i="14"/>
  <c r="E29" i="14"/>
  <c r="F28" i="14"/>
  <c r="E28" i="14"/>
  <c r="F27" i="14"/>
  <c r="E27" i="14"/>
  <c r="F26" i="14"/>
  <c r="E26" i="14"/>
  <c r="F25" i="14"/>
  <c r="E25" i="14"/>
  <c r="F24" i="14"/>
  <c r="E24" i="14"/>
  <c r="F23" i="14"/>
  <c r="E23" i="14"/>
  <c r="F22" i="14"/>
  <c r="E22" i="14"/>
  <c r="F21" i="14"/>
  <c r="E21" i="14"/>
  <c r="F20" i="14"/>
  <c r="E20" i="14"/>
  <c r="F18" i="14"/>
  <c r="E18" i="14"/>
  <c r="F17" i="14"/>
  <c r="E17" i="14"/>
  <c r="F16" i="14"/>
  <c r="E16" i="14"/>
  <c r="F15" i="14"/>
  <c r="E15" i="14"/>
  <c r="F14" i="14"/>
  <c r="E14" i="14"/>
  <c r="F13" i="14"/>
  <c r="E13" i="14"/>
  <c r="F12" i="14"/>
  <c r="E12" i="14"/>
  <c r="F11" i="14"/>
  <c r="E11" i="14"/>
  <c r="F10" i="14"/>
  <c r="E10" i="14"/>
  <c r="F9" i="14"/>
  <c r="E9" i="14"/>
  <c r="F8" i="14"/>
  <c r="E8" i="14"/>
  <c r="F7" i="14"/>
  <c r="E7" i="14"/>
  <c r="F6" i="14"/>
  <c r="E6" i="14"/>
  <c r="E51" i="3"/>
  <c r="E50" i="3"/>
  <c r="E49" i="3"/>
  <c r="E47" i="3"/>
  <c r="E46" i="3"/>
  <c r="E45" i="3"/>
  <c r="F43" i="3"/>
  <c r="E43" i="3"/>
  <c r="E42" i="3"/>
  <c r="E41" i="3"/>
  <c r="E39" i="3"/>
  <c r="E38" i="3"/>
  <c r="E37" i="3"/>
  <c r="E35" i="3"/>
  <c r="E34" i="3"/>
  <c r="E33" i="3"/>
  <c r="E31" i="3"/>
  <c r="E30" i="3"/>
  <c r="E29" i="3"/>
  <c r="E27" i="3"/>
  <c r="E26" i="3"/>
  <c r="E25" i="3"/>
  <c r="E23" i="3"/>
  <c r="E22" i="3"/>
  <c r="E21" i="3"/>
  <c r="E17" i="3"/>
  <c r="E15" i="3"/>
  <c r="E14" i="3"/>
  <c r="E13" i="3"/>
  <c r="E9" i="3"/>
  <c r="E276" i="2"/>
  <c r="E275" i="2"/>
  <c r="F274" i="2"/>
  <c r="E274" i="2"/>
  <c r="E273" i="2"/>
  <c r="E272" i="2"/>
  <c r="E271" i="2"/>
  <c r="F269" i="2"/>
  <c r="E269" i="2"/>
  <c r="E268" i="2"/>
  <c r="F267" i="2"/>
  <c r="E267" i="2"/>
  <c r="E266" i="2"/>
  <c r="E265" i="2"/>
  <c r="E264" i="2"/>
  <c r="E262" i="2"/>
  <c r="E261" i="2"/>
  <c r="F260" i="2"/>
  <c r="E260" i="2"/>
  <c r="E259" i="2"/>
  <c r="E258" i="2"/>
  <c r="E257" i="2"/>
  <c r="E255" i="2"/>
  <c r="E254" i="2"/>
  <c r="F253" i="2"/>
  <c r="E253" i="2"/>
  <c r="E252" i="2"/>
  <c r="E251" i="2"/>
  <c r="E250" i="2"/>
  <c r="E248" i="2"/>
  <c r="E247" i="2"/>
  <c r="F246" i="2"/>
  <c r="E246" i="2"/>
  <c r="E245" i="2"/>
  <c r="E244" i="2"/>
  <c r="E243" i="2"/>
  <c r="E241" i="2"/>
  <c r="E240" i="2"/>
  <c r="F239" i="2"/>
  <c r="E239" i="2"/>
  <c r="E238" i="2"/>
  <c r="E237" i="2"/>
  <c r="E236" i="2"/>
  <c r="E234" i="2"/>
  <c r="E233" i="2"/>
  <c r="F232" i="2"/>
  <c r="E232" i="2"/>
  <c r="E231" i="2"/>
  <c r="E230" i="2"/>
  <c r="E229" i="2"/>
  <c r="E227" i="2"/>
  <c r="E226" i="2"/>
  <c r="F225" i="2"/>
  <c r="E225" i="2"/>
  <c r="E224" i="2"/>
  <c r="E223" i="2"/>
  <c r="E222" i="2"/>
  <c r="E220" i="2"/>
  <c r="E219" i="2"/>
  <c r="F218" i="2"/>
  <c r="E218" i="2"/>
  <c r="E217" i="2"/>
  <c r="E216" i="2"/>
  <c r="E215" i="2"/>
  <c r="E213" i="2"/>
  <c r="E212" i="2"/>
  <c r="F211" i="2"/>
  <c r="E211" i="2"/>
  <c r="E210" i="2"/>
  <c r="E209" i="2"/>
  <c r="E208" i="2"/>
  <c r="E206" i="2"/>
  <c r="E205" i="2"/>
  <c r="F204" i="2"/>
  <c r="E204" i="2"/>
  <c r="E203" i="2"/>
  <c r="E202" i="2"/>
  <c r="E201" i="2"/>
  <c r="E199" i="2"/>
  <c r="E198" i="2"/>
  <c r="F197" i="2"/>
  <c r="E197" i="2"/>
  <c r="E196" i="2"/>
  <c r="E195" i="2"/>
  <c r="E194" i="2"/>
  <c r="E192" i="2"/>
  <c r="E191" i="2"/>
  <c r="F190" i="2"/>
  <c r="E190" i="2"/>
  <c r="E189" i="2"/>
  <c r="E188" i="2"/>
  <c r="E187" i="2"/>
  <c r="F186" i="2"/>
  <c r="E186" i="2"/>
  <c r="E185" i="2"/>
  <c r="E184" i="2"/>
  <c r="F183" i="2"/>
  <c r="E183" i="2"/>
  <c r="E182" i="2"/>
  <c r="E181" i="2"/>
  <c r="E180" i="2"/>
  <c r="E177" i="2"/>
  <c r="F176" i="2"/>
  <c r="E176" i="2"/>
  <c r="E175" i="2"/>
  <c r="E174" i="2"/>
  <c r="E173" i="2"/>
  <c r="E171" i="2"/>
  <c r="E170" i="2"/>
  <c r="F169" i="2"/>
  <c r="E169" i="2"/>
  <c r="E168" i="2"/>
  <c r="E167" i="2"/>
  <c r="E166" i="2"/>
  <c r="E164" i="2"/>
  <c r="E163" i="2"/>
  <c r="F162" i="2"/>
  <c r="E162" i="2"/>
  <c r="E161" i="2"/>
  <c r="E160" i="2"/>
  <c r="E159" i="2"/>
  <c r="E157" i="2"/>
  <c r="E156" i="2"/>
  <c r="F155" i="2"/>
  <c r="E155" i="2"/>
  <c r="E154" i="2"/>
  <c r="E153" i="2"/>
  <c r="E152" i="2"/>
  <c r="E150" i="2"/>
  <c r="E149" i="2"/>
  <c r="F148" i="2"/>
  <c r="E148" i="2"/>
  <c r="E147" i="2"/>
  <c r="E146" i="2"/>
  <c r="E145" i="2"/>
  <c r="E142" i="2"/>
  <c r="F141" i="2"/>
  <c r="E141" i="2"/>
  <c r="E140" i="2"/>
  <c r="E138" i="2"/>
  <c r="E136" i="2"/>
  <c r="E135" i="2"/>
  <c r="F134" i="2"/>
  <c r="E134" i="2"/>
  <c r="E133" i="2"/>
  <c r="E132" i="2"/>
  <c r="E131" i="2"/>
  <c r="E129" i="2"/>
  <c r="E128" i="2"/>
  <c r="F127" i="2"/>
  <c r="E127" i="2"/>
  <c r="E126" i="2"/>
  <c r="E125" i="2"/>
  <c r="E124" i="2"/>
  <c r="E122" i="2"/>
  <c r="E121" i="2"/>
  <c r="E120" i="2"/>
  <c r="E119" i="2"/>
  <c r="E118" i="2"/>
  <c r="E117" i="2"/>
  <c r="E115" i="2"/>
  <c r="E114" i="2"/>
  <c r="F113" i="2"/>
  <c r="E113" i="2"/>
  <c r="E112" i="2"/>
  <c r="E111" i="2"/>
  <c r="E110" i="2"/>
  <c r="E108" i="2"/>
  <c r="E107" i="2"/>
  <c r="F106" i="2"/>
  <c r="E106" i="2"/>
  <c r="E105" i="2"/>
  <c r="E104" i="2"/>
  <c r="E103" i="2"/>
  <c r="E100" i="2"/>
  <c r="F99" i="2"/>
  <c r="E99" i="2"/>
  <c r="E98" i="2"/>
  <c r="E97" i="2"/>
  <c r="E96" i="2"/>
  <c r="E93" i="2"/>
  <c r="F92" i="2"/>
  <c r="E92" i="2"/>
  <c r="E91" i="2"/>
  <c r="E90" i="2"/>
  <c r="E89" i="2"/>
  <c r="E87" i="2"/>
  <c r="E86" i="2"/>
  <c r="F85" i="2"/>
  <c r="E85" i="2"/>
  <c r="E84" i="2"/>
  <c r="E83" i="2"/>
  <c r="E82" i="2"/>
  <c r="E80" i="2"/>
  <c r="E79" i="2"/>
  <c r="F78" i="2"/>
  <c r="E78" i="2"/>
  <c r="E77" i="2"/>
  <c r="E75" i="2"/>
  <c r="E73" i="2"/>
  <c r="E72" i="2"/>
  <c r="F71" i="2"/>
  <c r="E71" i="2"/>
  <c r="E70" i="2"/>
  <c r="E69" i="2"/>
  <c r="E68" i="2"/>
  <c r="E66" i="2"/>
  <c r="E65" i="2"/>
  <c r="F64" i="2"/>
  <c r="E64" i="2"/>
  <c r="E63" i="2"/>
  <c r="E62" i="2"/>
  <c r="E61" i="2"/>
  <c r="E58" i="2"/>
  <c r="F57" i="2"/>
  <c r="E57" i="2"/>
  <c r="E56" i="2"/>
  <c r="E54" i="2"/>
  <c r="E52" i="2"/>
  <c r="E51" i="2"/>
  <c r="E49" i="2"/>
  <c r="E45" i="2"/>
  <c r="E44" i="2"/>
  <c r="F43" i="2"/>
  <c r="E43" i="2"/>
  <c r="E42" i="2"/>
  <c r="E41" i="2"/>
  <c r="E40" i="2"/>
  <c r="E37" i="2"/>
  <c r="F36" i="2"/>
  <c r="E36" i="2"/>
  <c r="E35" i="2"/>
  <c r="E33" i="2"/>
  <c r="E31" i="2"/>
  <c r="E30" i="2"/>
  <c r="F29" i="2"/>
  <c r="E29" i="2"/>
  <c r="E28" i="2"/>
  <c r="E27" i="2"/>
  <c r="E26" i="2"/>
  <c r="E24" i="2"/>
  <c r="E23" i="2"/>
  <c r="F22" i="2"/>
  <c r="E22" i="2"/>
  <c r="E21" i="2"/>
  <c r="E20" i="2"/>
  <c r="E19" i="2"/>
  <c r="E14" i="2"/>
  <c r="E10" i="2"/>
  <c r="E7" i="3" s="1"/>
  <c r="E9" i="2"/>
  <c r="E6" i="3" s="1"/>
  <c r="F8" i="2"/>
  <c r="E8" i="2"/>
  <c r="E7" i="2"/>
  <c r="E5" i="3" s="1"/>
  <c r="E6" i="2"/>
  <c r="E5" i="2"/>
  <c r="E9" i="1"/>
  <c r="E8" i="1"/>
  <c r="E7" i="1"/>
  <c r="E29" i="4" l="1"/>
  <c r="E42" i="4" l="1"/>
  <c r="E43" i="4" l="1"/>
  <c r="E47" i="4"/>
  <c r="E48" i="4" l="1"/>
  <c r="E21" i="4" l="1"/>
  <c r="E12" i="4" l="1"/>
  <c r="F36" i="14" l="1"/>
  <c r="E36" i="14"/>
  <c r="E37" i="14"/>
  <c r="E35" i="14" l="1"/>
  <c r="F37" i="14"/>
  <c r="E178" i="2" l="1"/>
  <c r="E139" i="2"/>
  <c r="E143" i="2"/>
  <c r="E101" i="2"/>
  <c r="E94" i="2"/>
  <c r="E59" i="2"/>
  <c r="E55" i="2"/>
  <c r="E47" i="2"/>
  <c r="E76" i="2"/>
  <c r="E11" i="1"/>
  <c r="E12" i="2"/>
  <c r="E38" i="2"/>
  <c r="E15" i="2"/>
  <c r="E34" i="2"/>
  <c r="E12" i="1"/>
  <c r="E50" i="2" l="1"/>
  <c r="E48" i="2"/>
  <c r="E13" i="2"/>
  <c r="E13" i="1"/>
  <c r="E5" i="1"/>
  <c r="E4" i="1"/>
  <c r="E14" i="1" s="1"/>
  <c r="E48" i="3" l="1"/>
  <c r="E36" i="3"/>
  <c r="E8" i="3"/>
  <c r="E20" i="3"/>
  <c r="E24" i="3"/>
  <c r="E44" i="3"/>
  <c r="E10" i="1"/>
  <c r="E16" i="3"/>
  <c r="E32" i="3"/>
  <c r="E40" i="3"/>
  <c r="E4" i="3"/>
  <c r="E28" i="3"/>
  <c r="E12" i="3"/>
  <c r="E6" i="1"/>
  <c r="F42" i="3" l="1"/>
  <c r="F268" i="2"/>
  <c r="F41" i="3" l="1"/>
  <c r="F266" i="2"/>
  <c r="F264" i="2" l="1"/>
  <c r="F265" i="2" l="1"/>
  <c r="F42" i="4" l="1"/>
  <c r="F43" i="4" l="1"/>
  <c r="E28" i="18" l="1"/>
  <c r="F120" i="2" l="1"/>
  <c r="E27" i="18" l="1"/>
  <c r="E25" i="18" l="1"/>
  <c r="E10" i="18" l="1"/>
  <c r="E23" i="18" l="1"/>
  <c r="E19" i="18" l="1"/>
  <c r="E29" i="18" l="1"/>
  <c r="E35" i="18" l="1"/>
  <c r="E31" i="4" l="1"/>
  <c r="F38" i="3" l="1"/>
  <c r="F261" i="2"/>
  <c r="F4" i="4" l="1"/>
  <c r="F53" i="4" l="1"/>
  <c r="E37" i="4" l="1"/>
  <c r="E39" i="4"/>
  <c r="E34" i="4"/>
  <c r="E30" i="4" l="1"/>
  <c r="E32" i="4" l="1"/>
  <c r="F121" i="2" l="1"/>
  <c r="F122" i="2"/>
  <c r="E18" i="4" l="1"/>
  <c r="E15" i="4" l="1"/>
  <c r="E9" i="4"/>
  <c r="E14" i="4" s="1"/>
  <c r="E19" i="4" l="1"/>
  <c r="E22" i="4"/>
  <c r="E23" i="4"/>
  <c r="F18" i="4" l="1"/>
  <c r="F108" i="2" l="1"/>
  <c r="F171" i="2" l="1"/>
  <c r="F199" i="2" l="1"/>
  <c r="F213" i="2"/>
  <c r="F220" i="2"/>
  <c r="F117" i="2" l="1"/>
  <c r="F119" i="2" l="1"/>
  <c r="F118" i="2" l="1"/>
  <c r="F19" i="2" l="1"/>
  <c r="F21" i="2" l="1"/>
  <c r="F20" i="2" l="1"/>
  <c r="F23" i="2" l="1"/>
  <c r="F24" i="2" l="1"/>
  <c r="F23" i="3" l="1"/>
  <c r="F241" i="2"/>
  <c r="F10" i="2" l="1"/>
  <c r="F7" i="3" s="1"/>
  <c r="F248" i="2"/>
  <c r="F31" i="3"/>
  <c r="F262" i="2"/>
  <c r="F35" i="3"/>
  <c r="F255" i="2"/>
  <c r="F39" i="3" l="1"/>
  <c r="F259" i="2"/>
  <c r="F37" i="3"/>
  <c r="F136" i="2"/>
  <c r="F115" i="2"/>
  <c r="F192" i="2"/>
  <c r="F257" i="2"/>
  <c r="F206" i="2" l="1"/>
  <c r="F258" i="2" l="1"/>
  <c r="F15" i="4" l="1"/>
  <c r="F9" i="4" l="1"/>
  <c r="F12" i="4"/>
  <c r="F19" i="4" l="1"/>
  <c r="F14" i="4"/>
  <c r="F13" i="4" l="1"/>
  <c r="F16" i="4" l="1"/>
  <c r="F10" i="4" l="1"/>
  <c r="F22" i="3" l="1"/>
  <c r="F240" i="2"/>
  <c r="F9" i="2" l="1"/>
  <c r="F6" i="3" s="1"/>
  <c r="F21" i="3" l="1"/>
  <c r="F238" i="2"/>
  <c r="F236" i="2" l="1"/>
  <c r="F237" i="2" l="1"/>
  <c r="F7" i="2" l="1"/>
  <c r="F5" i="3" s="1"/>
  <c r="F5" i="2" l="1"/>
  <c r="F6" i="2" l="1"/>
  <c r="F198" i="2" l="1"/>
  <c r="F135" i="2"/>
  <c r="E18" i="3" l="1"/>
  <c r="E16" i="2"/>
  <c r="E19" i="3" l="1"/>
  <c r="E17" i="2"/>
  <c r="E10" i="3"/>
  <c r="E11" i="3" l="1"/>
  <c r="F196" i="2" l="1"/>
  <c r="F194" i="2" l="1"/>
  <c r="F195" i="2" l="1"/>
  <c r="F212" i="2" l="1"/>
  <c r="F210" i="2" l="1"/>
  <c r="F208" i="2" l="1"/>
  <c r="F209" i="2" l="1"/>
  <c r="F107" i="2" l="1"/>
  <c r="F219" i="2"/>
  <c r="F217" i="2" l="1"/>
  <c r="F170" i="2" l="1"/>
  <c r="F215" i="2"/>
  <c r="F216" i="2" l="1"/>
  <c r="F168" i="2" l="1"/>
  <c r="F105" i="2"/>
  <c r="F166" i="2" l="1"/>
  <c r="F103" i="2"/>
  <c r="F104" i="2" l="1"/>
  <c r="F167" i="2"/>
  <c r="F129" i="2" l="1"/>
  <c r="F157" i="2" l="1"/>
  <c r="F222" i="2" l="1"/>
  <c r="F226" i="2"/>
  <c r="F224" i="2" l="1"/>
  <c r="F227" i="2" l="1"/>
  <c r="F223" i="2"/>
  <c r="F114" i="2" l="1"/>
  <c r="F31" i="2" l="1"/>
  <c r="F30" i="2" l="1"/>
  <c r="F26" i="2" l="1"/>
  <c r="F28" i="2"/>
  <c r="F27" i="2" l="1"/>
  <c r="F54" i="2" l="1"/>
  <c r="F56" i="2" l="1"/>
  <c r="F58" i="2"/>
  <c r="F59" i="2" l="1"/>
  <c r="F55" i="2"/>
  <c r="F75" i="2" l="1"/>
  <c r="F79" i="2" l="1"/>
  <c r="F76" i="2"/>
  <c r="F77" i="2"/>
  <c r="F80" i="2" l="1"/>
  <c r="F173" i="2" l="1"/>
  <c r="F175" i="2" l="1"/>
  <c r="F177" i="2"/>
  <c r="F174" i="2" l="1"/>
  <c r="F178" i="2"/>
  <c r="F65" i="2" l="1"/>
  <c r="F61" i="2" l="1"/>
  <c r="F63" i="2" l="1"/>
  <c r="F149" i="2" l="1"/>
  <c r="F205" i="2"/>
  <c r="F86" i="2"/>
  <c r="F72" i="2"/>
  <c r="F66" i="2"/>
  <c r="F62" i="2"/>
  <c r="F191" i="2" l="1"/>
  <c r="F87" i="2" l="1"/>
  <c r="F37" i="2"/>
  <c r="F145" i="2" l="1"/>
  <c r="F84" i="2"/>
  <c r="F68" i="2"/>
  <c r="F70" i="2" l="1"/>
  <c r="F147" i="2"/>
  <c r="F82" i="2"/>
  <c r="F33" i="2" l="1"/>
  <c r="F150" i="2"/>
  <c r="F73" i="2"/>
  <c r="F83" i="2"/>
  <c r="F69" i="2"/>
  <c r="F146" i="2"/>
  <c r="F35" i="2" l="1"/>
  <c r="F38" i="2" l="1"/>
  <c r="F34" i="2"/>
  <c r="F138" i="2" l="1"/>
  <c r="F142" i="2" l="1"/>
  <c r="F185" i="2"/>
  <c r="F140" i="2"/>
  <c r="F159" i="2"/>
  <c r="F160" i="2" l="1"/>
  <c r="F161" i="2"/>
  <c r="F139" i="2"/>
  <c r="F143" i="2"/>
  <c r="F156" i="2"/>
  <c r="F128" i="2" l="1"/>
  <c r="F163" i="2"/>
  <c r="F184" i="2" l="1"/>
  <c r="F154" i="2"/>
  <c r="F126" i="2"/>
  <c r="F164" i="2"/>
  <c r="F124" i="2" l="1"/>
  <c r="F152" i="2"/>
  <c r="F182" i="2"/>
  <c r="F180" i="2" l="1"/>
  <c r="F125" i="2"/>
  <c r="F153" i="2"/>
  <c r="F181" i="2" l="1"/>
  <c r="F229" i="2" l="1"/>
  <c r="F233" i="2"/>
  <c r="F231" i="2" l="1"/>
  <c r="F230" i="2" l="1"/>
  <c r="F234" i="2"/>
  <c r="F45" i="2" l="1"/>
  <c r="F44" i="2"/>
  <c r="F42" i="2" l="1"/>
  <c r="F16" i="2"/>
  <c r="F14" i="2" l="1"/>
  <c r="F40" i="2"/>
  <c r="F14" i="3"/>
  <c r="F41" i="2"/>
  <c r="F17" i="2" l="1"/>
  <c r="F13" i="3"/>
  <c r="F12" i="2"/>
  <c r="F13" i="2" l="1"/>
  <c r="F15" i="3"/>
  <c r="F15" i="2"/>
  <c r="F36" i="4"/>
  <c r="F7" i="1" l="1"/>
  <c r="F8" i="1"/>
  <c r="F9" i="1" l="1"/>
  <c r="F37" i="4" l="1"/>
  <c r="F133" i="2"/>
  <c r="F112" i="2" l="1"/>
  <c r="F131" i="2"/>
  <c r="F203" i="2"/>
  <c r="F189" i="2"/>
  <c r="F110" i="2" l="1"/>
  <c r="F201" i="2"/>
  <c r="F187" i="2"/>
  <c r="F132" i="2" l="1"/>
  <c r="F111" i="2"/>
  <c r="F188" i="2" l="1"/>
  <c r="F202" i="2"/>
  <c r="F93" i="2" l="1"/>
  <c r="F89" i="2"/>
  <c r="F100" i="2"/>
  <c r="F96" i="2"/>
  <c r="F98" i="2" l="1"/>
  <c r="F90" i="2"/>
  <c r="F91" i="2"/>
  <c r="F51" i="2"/>
  <c r="F47" i="2"/>
  <c r="F97" i="2" l="1"/>
  <c r="F18" i="3"/>
  <c r="F101" i="2"/>
  <c r="F49" i="2"/>
  <c r="F10" i="3"/>
  <c r="F94" i="2"/>
  <c r="F17" i="3" l="1"/>
  <c r="F48" i="2"/>
  <c r="F9" i="3"/>
  <c r="F52" i="2"/>
  <c r="F50" i="2"/>
  <c r="F254" i="2"/>
  <c r="F34" i="3"/>
  <c r="F252" i="2" l="1"/>
  <c r="F33" i="3"/>
  <c r="F19" i="3"/>
  <c r="F11" i="3"/>
  <c r="F250" i="2" l="1"/>
  <c r="F251" i="2" l="1"/>
  <c r="F34" i="4" l="1"/>
  <c r="F39" i="4" l="1"/>
  <c r="F33" i="4"/>
  <c r="F38" i="4" l="1"/>
  <c r="F29" i="4" l="1"/>
  <c r="F30" i="4"/>
  <c r="F247" i="2" l="1"/>
  <c r="F30" i="3"/>
  <c r="F29" i="3" l="1"/>
  <c r="F245" i="2"/>
  <c r="F41" i="4"/>
  <c r="F275" i="2"/>
  <c r="F46" i="3"/>
  <c r="F243" i="2" l="1"/>
  <c r="F26" i="3"/>
  <c r="F40" i="4"/>
  <c r="F32" i="4" l="1"/>
  <c r="F31" i="4"/>
  <c r="F45" i="3"/>
  <c r="F273" i="2"/>
  <c r="F244" i="2"/>
  <c r="F25" i="3" l="1"/>
  <c r="F12" i="1"/>
  <c r="F50" i="3"/>
  <c r="F276" i="2"/>
  <c r="F47" i="3"/>
  <c r="F271" i="2"/>
  <c r="F27" i="3" l="1"/>
  <c r="F272" i="2"/>
  <c r="F5" i="1"/>
  <c r="F49" i="3" l="1"/>
  <c r="F11" i="1"/>
  <c r="F4" i="1" l="1"/>
  <c r="F51" i="3"/>
  <c r="F13" i="1"/>
  <c r="F6" i="1" l="1"/>
  <c r="F40" i="3"/>
  <c r="F20" i="3"/>
  <c r="F10" i="1"/>
  <c r="F36" i="3"/>
  <c r="F4" i="3"/>
  <c r="F12" i="3"/>
  <c r="F16" i="3"/>
  <c r="F8" i="3"/>
  <c r="F32" i="3"/>
  <c r="F28" i="3"/>
  <c r="F44" i="3"/>
  <c r="F24" i="3"/>
  <c r="F48" i="3"/>
  <c r="F14" i="1"/>
  <c r="E199" i="14" l="1"/>
  <c r="E197" i="14" l="1"/>
  <c r="E207" i="14" l="1"/>
</calcChain>
</file>

<file path=xl/sharedStrings.xml><?xml version="1.0" encoding="utf-8"?>
<sst xmlns="http://schemas.openxmlformats.org/spreadsheetml/2006/main" count="2182" uniqueCount="499">
  <si>
    <t>№</t>
  </si>
  <si>
    <t>Göstəricilər</t>
  </si>
  <si>
    <t>Ölçü vahidi</t>
  </si>
  <si>
    <t>AZN</t>
  </si>
  <si>
    <t>%</t>
  </si>
  <si>
    <t>İnflyasiya (İQİ, orta illik)</t>
  </si>
  <si>
    <t>mln AZN</t>
  </si>
  <si>
    <t>real artım tempi</t>
  </si>
  <si>
    <t>3.</t>
  </si>
  <si>
    <t>3.1.</t>
  </si>
  <si>
    <t>3.2.</t>
  </si>
  <si>
    <t>Yaşayış minimumu</t>
  </si>
  <si>
    <t>Əmək qabiliyyətli əhali üçün</t>
  </si>
  <si>
    <t>Pensiyaçılar üçün</t>
  </si>
  <si>
    <t>Uşaqlar üçün</t>
  </si>
  <si>
    <t>1.</t>
  </si>
  <si>
    <t>2.</t>
  </si>
  <si>
    <t>4.</t>
  </si>
  <si>
    <t>5.</t>
  </si>
  <si>
    <t>min nəfər</t>
  </si>
  <si>
    <t>ÜDM-də payı, %</t>
  </si>
  <si>
    <t>2.1.</t>
  </si>
  <si>
    <t>2.2.</t>
  </si>
  <si>
    <t>3.22.</t>
  </si>
  <si>
    <t>3.21.</t>
  </si>
  <si>
    <t>3.20.</t>
  </si>
  <si>
    <t>3.23.</t>
  </si>
  <si>
    <t>6.</t>
  </si>
  <si>
    <t>6.1.</t>
  </si>
  <si>
    <t>6.1.1.</t>
  </si>
  <si>
    <t>6.1.2.</t>
  </si>
  <si>
    <t>6.2.</t>
  </si>
  <si>
    <t>6.1.3.</t>
  </si>
  <si>
    <t>6.2.1.</t>
  </si>
  <si>
    <t>6.2.2.</t>
  </si>
  <si>
    <t>6.2.3.</t>
  </si>
  <si>
    <t>3.24.</t>
  </si>
  <si>
    <t>Zərgərlik, musiqi, idman və tibb avadanlıqlarının istehsalı</t>
  </si>
  <si>
    <t>min manat</t>
  </si>
  <si>
    <t>min ədəd</t>
  </si>
  <si>
    <t>EHTİYAT AKTİVLƏRİ</t>
  </si>
  <si>
    <t xml:space="preserve">D. </t>
  </si>
  <si>
    <t>E.</t>
  </si>
  <si>
    <t xml:space="preserve">ÜDM bazar qiymətləri ilə </t>
  </si>
  <si>
    <t xml:space="preserve">real artım tempi </t>
  </si>
  <si>
    <t>deflyator</t>
  </si>
  <si>
    <t>payı  (ÜDM-də)</t>
  </si>
  <si>
    <t>Gəlirlər</t>
  </si>
  <si>
    <t>Xərclər</t>
  </si>
  <si>
    <t>Neftin qiyməti</t>
  </si>
  <si>
    <t>USD/ barel</t>
  </si>
  <si>
    <t>Kənd, meşə və balıqçılıq təsərrüfatı</t>
  </si>
  <si>
    <t>a</t>
  </si>
  <si>
    <t xml:space="preserve">ümumi buraxılış </t>
  </si>
  <si>
    <t>b</t>
  </si>
  <si>
    <t>aralıq istehlak</t>
  </si>
  <si>
    <t>c</t>
  </si>
  <si>
    <t>əlavə dəyər</t>
  </si>
  <si>
    <t>əlavə dəyərin xüsusi çəkisi</t>
  </si>
  <si>
    <t>Mədənçıxarma sənayesi</t>
  </si>
  <si>
    <t>Xam neft və təbii qaz hasilatı</t>
  </si>
  <si>
    <t>Metal filizlərinin hasilatı</t>
  </si>
  <si>
    <t>2.3.</t>
  </si>
  <si>
    <t>Mədənçıxarma sənayesinin digər sahələri</t>
  </si>
  <si>
    <t>2.4.</t>
  </si>
  <si>
    <t>Mədənçıxarma sənayesi sahəsinə xidmətlərin göstərilməsi</t>
  </si>
  <si>
    <t>Emal sənayesi</t>
  </si>
  <si>
    <t>Qida məhsullarının istehsalı</t>
  </si>
  <si>
    <t>İçki istehsalı</t>
  </si>
  <si>
    <t>3.3.</t>
  </si>
  <si>
    <t>Tütün məmulatlarının istehsalı</t>
  </si>
  <si>
    <t>3.4.</t>
  </si>
  <si>
    <t>Toxuculuq sənayesi</t>
  </si>
  <si>
    <t>3.5.</t>
  </si>
  <si>
    <t>Geyim istehsalı</t>
  </si>
  <si>
    <t>3.6.</t>
  </si>
  <si>
    <t>Dəri və dəri məmulatlarının, ayaqqabıların istehsalı</t>
  </si>
  <si>
    <t>3.7.</t>
  </si>
  <si>
    <t>Ağac emalı və ağacdan məmulatların istehsalı</t>
  </si>
  <si>
    <t>3.8.</t>
  </si>
  <si>
    <t>Kağız və karton istehsalı</t>
  </si>
  <si>
    <t>3.9.</t>
  </si>
  <si>
    <t xml:space="preserve">Poliqrafiya fəaliyyəti </t>
  </si>
  <si>
    <t>3.10.</t>
  </si>
  <si>
    <t>Neft məhsullarının istehsalı</t>
  </si>
  <si>
    <t>3.11.</t>
  </si>
  <si>
    <t>Kimya sənayesi</t>
  </si>
  <si>
    <t>3.12.</t>
  </si>
  <si>
    <t>Əczaçılıq məhsullarının istehsalı</t>
  </si>
  <si>
    <t>3.13.</t>
  </si>
  <si>
    <t>Rezin və plastmas məmulatlarının istehsalı</t>
  </si>
  <si>
    <t>3.14.</t>
  </si>
  <si>
    <t>Tikinti materiallarının istehsalı</t>
  </si>
  <si>
    <t>3.15.</t>
  </si>
  <si>
    <t>Metallurgiya sənayesi</t>
  </si>
  <si>
    <t>3.16.</t>
  </si>
  <si>
    <t>Maşın və avadanlıqlardan başqa hazır metal məmulatlarının istehsalı</t>
  </si>
  <si>
    <t>3.17.</t>
  </si>
  <si>
    <t>Kompüter və digər elektron avadanlıqların istehsalı</t>
  </si>
  <si>
    <t>3.18.</t>
  </si>
  <si>
    <t>Elektrik avadanlıqlarının istehsalı</t>
  </si>
  <si>
    <t>3.19.</t>
  </si>
  <si>
    <t>Maşınqayırma sənayesi (Maşın və avadanlıqların istehsalı)</t>
  </si>
  <si>
    <t>Avtomobil və qoşquların istehsalı</t>
  </si>
  <si>
    <t>Sair nəqliyyat vasitələrinin istehsalı</t>
  </si>
  <si>
    <t>Mebellərin istehsalı</t>
  </si>
  <si>
    <t>Maşın və avadanlıqların quraşdırılması və təmiri</t>
  </si>
  <si>
    <t>Elektrik enerjisi, qaz və buxar istehsalı, bölüşdürülməsi və təchizatı</t>
  </si>
  <si>
    <t>Su təchizatı; tullantıların təmizlənməsi və emalı</t>
  </si>
  <si>
    <t>Tikinti</t>
  </si>
  <si>
    <t>7.</t>
  </si>
  <si>
    <t>Ticarət; nəqliyyat vasitələrinin təmiri</t>
  </si>
  <si>
    <t>8.</t>
  </si>
  <si>
    <t>Turistlərin yerləşdirilməsi və ictimai iaşə</t>
  </si>
  <si>
    <t>9.</t>
  </si>
  <si>
    <t>Nəqliyyat və anbar təsərrüfatı</t>
  </si>
  <si>
    <t>10.</t>
  </si>
  <si>
    <t>İnformasiya və rabitə</t>
  </si>
  <si>
    <t>11.</t>
  </si>
  <si>
    <t>Sosial və digər sahələrdə yaradılmış əlavə dəyər</t>
  </si>
  <si>
    <t>Əsas kapitala cəmi investisiyalar</t>
  </si>
  <si>
    <t>Daxili/Xarici</t>
  </si>
  <si>
    <t>Daxili investisiya</t>
  </si>
  <si>
    <t>Xarici investisiya</t>
  </si>
  <si>
    <t>Neft və qaz sektoru</t>
  </si>
  <si>
    <t>Digər sahələr</t>
  </si>
  <si>
    <t>Dövlət/Qeyri-dövlət</t>
  </si>
  <si>
    <t>4.1.</t>
  </si>
  <si>
    <t xml:space="preserve">Dövlət </t>
  </si>
  <si>
    <t>4.2.</t>
  </si>
  <si>
    <t>Qeyri-dövlət</t>
  </si>
  <si>
    <t>illik, %</t>
  </si>
  <si>
    <t>Orta aylıq əmək haqqı</t>
  </si>
  <si>
    <t xml:space="preserve"> %</t>
  </si>
  <si>
    <t>1.1</t>
  </si>
  <si>
    <t>1.2</t>
  </si>
  <si>
    <t>Neft/qeyri-neft:</t>
  </si>
  <si>
    <t xml:space="preserve">Neft </t>
  </si>
  <si>
    <t>Qeyri-neft</t>
  </si>
  <si>
    <t>Ümumi məşğulluq</t>
  </si>
  <si>
    <t>Artım tempi</t>
  </si>
  <si>
    <t>Neft (muzdlu)</t>
  </si>
  <si>
    <t xml:space="preserve">% </t>
  </si>
  <si>
    <t>Malların ixracı</t>
  </si>
  <si>
    <t>mln USD</t>
  </si>
  <si>
    <t>Neft və qaz</t>
  </si>
  <si>
    <t>Digər sektorlar</t>
  </si>
  <si>
    <t>Malların idxalı</t>
  </si>
  <si>
    <t>2.1</t>
  </si>
  <si>
    <t>2.2</t>
  </si>
  <si>
    <t>Xidmətlərin ixracı</t>
  </si>
  <si>
    <t>Xidmətlərin idxalı</t>
  </si>
  <si>
    <t>4.1</t>
  </si>
  <si>
    <t>4.2</t>
  </si>
  <si>
    <t xml:space="preserve">A. </t>
  </si>
  <si>
    <t>CARİ ƏMƏLİYYATLAR HESABI</t>
  </si>
  <si>
    <t>A.1.</t>
  </si>
  <si>
    <t>XARİCİ TİCARƏT BALANSI</t>
  </si>
  <si>
    <t>Neft-qaz sektoru</t>
  </si>
  <si>
    <t>A2.</t>
  </si>
  <si>
    <t>XİDMƏTLƏR BALANSI</t>
  </si>
  <si>
    <t>A3.</t>
  </si>
  <si>
    <t>İLKİN GƏLİRLƏR</t>
  </si>
  <si>
    <t>A4.</t>
  </si>
  <si>
    <t>TƏKRAR GƏLİRLƏR</t>
  </si>
  <si>
    <t>B</t>
  </si>
  <si>
    <t>KAPİTAL HESABI</t>
  </si>
  <si>
    <t>C.</t>
  </si>
  <si>
    <t>MALİYYƏ HESABI</t>
  </si>
  <si>
    <t>C1.</t>
  </si>
  <si>
    <t>BİRBAŞA İNVESTİSİYALAR</t>
  </si>
  <si>
    <t>C2.</t>
  </si>
  <si>
    <t>NEFT BONUSU</t>
  </si>
  <si>
    <t>C3.</t>
  </si>
  <si>
    <t>PORTFEL İNVESTİSİYALARI</t>
  </si>
  <si>
    <t>C4.</t>
  </si>
  <si>
    <t>TÖRƏMƏ MALİYYƏ ALƏTLƏRİ</t>
  </si>
  <si>
    <t>C5.</t>
  </si>
  <si>
    <t>DİGƏR İNVESTİSİYALAR</t>
  </si>
  <si>
    <t>BALANSLAŞDIRICI  MADDƏLƏR</t>
  </si>
  <si>
    <t>Sənaye</t>
  </si>
  <si>
    <t>Neft və qaz sənayesi</t>
  </si>
  <si>
    <t>Xidmətlərin istehsalı</t>
  </si>
  <si>
    <t>Məhsula və idxala xalis vergilər</t>
  </si>
  <si>
    <t>Bitkiçilik sahəsi</t>
  </si>
  <si>
    <t>Dənli və dənli paxlalılar</t>
  </si>
  <si>
    <t>min ton</t>
  </si>
  <si>
    <t>o cümlədən, buğda</t>
  </si>
  <si>
    <t>o cümlədən, çəltik</t>
  </si>
  <si>
    <t>Tərəvəz</t>
  </si>
  <si>
    <t xml:space="preserve">Bostan </t>
  </si>
  <si>
    <t>Kartof</t>
  </si>
  <si>
    <t>Pambıq</t>
  </si>
  <si>
    <t>Tütün</t>
  </si>
  <si>
    <t>Şəkər çuğunduru</t>
  </si>
  <si>
    <t>Dən üçün günəbaxan</t>
  </si>
  <si>
    <t>Meyvə və giləmeyvə</t>
  </si>
  <si>
    <t>Üzüm</t>
  </si>
  <si>
    <t>Çay yarpağı</t>
  </si>
  <si>
    <t>Heyvandarlıq sahəsi</t>
  </si>
  <si>
    <t>o cümlədən mal əti</t>
  </si>
  <si>
    <t>o cümlədən qoyun əti</t>
  </si>
  <si>
    <t>o cümlədən quş əti</t>
  </si>
  <si>
    <t>Yumurta</t>
  </si>
  <si>
    <t>mln ədəd</t>
  </si>
  <si>
    <t>Süd (fiziki çəkidə)</t>
  </si>
  <si>
    <t>Yun (fiziki çəkidə)</t>
  </si>
  <si>
    <t>Barama (yaş çəkidə)</t>
  </si>
  <si>
    <t>ton</t>
  </si>
  <si>
    <t>İri buynuzlu mal-qara</t>
  </si>
  <si>
    <t>min baş</t>
  </si>
  <si>
    <t>İnək-camış</t>
  </si>
  <si>
    <t>Qoyun və keçilər</t>
  </si>
  <si>
    <t>Donuzlar</t>
  </si>
  <si>
    <t>Quş</t>
  </si>
  <si>
    <t>mln baş</t>
  </si>
  <si>
    <t>Neft hasilatı</t>
  </si>
  <si>
    <t>Qaz hasilatı</t>
  </si>
  <si>
    <t>mln m3</t>
  </si>
  <si>
    <t>əmtəəlik qaz</t>
  </si>
  <si>
    <t>Qızıl filizləri və konsentratları</t>
  </si>
  <si>
    <t>kq</t>
  </si>
  <si>
    <t>Çınqıl, qırmadaş, xırda çay daşı və çaxmaq daşı</t>
  </si>
  <si>
    <t>Bentonit</t>
  </si>
  <si>
    <t>İnşaat üçün əhəngdaşı, alebastr</t>
  </si>
  <si>
    <t>Tikinti qumu</t>
  </si>
  <si>
    <t>Mal əti</t>
  </si>
  <si>
    <t>Quş əti</t>
  </si>
  <si>
    <t>Meyvə və tərəvəz şirələri</t>
  </si>
  <si>
    <t>min dkl</t>
  </si>
  <si>
    <t>Emal edilmiş duru süd</t>
  </si>
  <si>
    <t>Qənd-rafinad və şəkər tozu</t>
  </si>
  <si>
    <t>Kərə yağı</t>
  </si>
  <si>
    <t>Pendir və kəsmik</t>
  </si>
  <si>
    <t>Bitki yağları</t>
  </si>
  <si>
    <t>Un</t>
  </si>
  <si>
    <t>Çörək və çörək-bulka məmulatları</t>
  </si>
  <si>
    <t>Xörək duzu</t>
  </si>
  <si>
    <t>Şampan şərabı</t>
  </si>
  <si>
    <t>Alkoqolsuz içkilər</t>
  </si>
  <si>
    <t>mln. ədəd</t>
  </si>
  <si>
    <t>Kardo və daraqla daranmış pambıq lifi</t>
  </si>
  <si>
    <t>Pərakəndə satış üçün qablaşdırılmış pambıq iplik (tikiş üçün saplardan başqa)</t>
  </si>
  <si>
    <t>Düyünlərlə toxunan xalçalar</t>
  </si>
  <si>
    <t>min m2</t>
  </si>
  <si>
    <t>Kişi və ya oğlanlar üçün trikotaj kostyum və komplektlər</t>
  </si>
  <si>
    <t>Kişi və ya oğlanlar üçün kostyumlar</t>
  </si>
  <si>
    <t>Kişi və oğlanlar üçün kalsonlar və tumanlar</t>
  </si>
  <si>
    <t>İpəkdən və ipək tullantılarından hazırlanan şallar, şərflər, kaşnelər, mantilyalar, duvaqlar</t>
  </si>
  <si>
    <t>Kolqotlar, reytuzlar, corablar</t>
  </si>
  <si>
    <t xml:space="preserve">min cüt </t>
  </si>
  <si>
    <t>Kişi və ya oğlanlar üçün pambıqdan və ya kimyəvi liflərdən hazırlanan  istehsalat və ya peşə komplektləri</t>
  </si>
  <si>
    <t>Kişi və ya oğlanlar üçün paltolar, gödəkçələr, plaşlar və oxşar məmulatlar</t>
  </si>
  <si>
    <t>Qadın və ya qızlar üçün donlar</t>
  </si>
  <si>
    <t>Kişi və ya oğlanlar üçün köynəklər, alt köynəkləri</t>
  </si>
  <si>
    <t>Laklı dəri və saxta laklı təbii dəri: metallaşdırılmış dəri</t>
  </si>
  <si>
    <t>min kv.m</t>
  </si>
  <si>
    <t>Ayaqqabı üçün dəri</t>
  </si>
  <si>
    <t>Üstü dəridən olan kişi küçə ayaqqabısı</t>
  </si>
  <si>
    <t xml:space="preserve">Sair taxta lövhə parket </t>
  </si>
  <si>
    <t>Taxta qapı blokları (qapı çərçivələri və tayları), qapı kandarları</t>
  </si>
  <si>
    <t>ədəd</t>
  </si>
  <si>
    <t>Deşilmiş və ya deşilməmiş büzmələnmiş kağız və karton</t>
  </si>
  <si>
    <t>Kağız əl dəsmalları</t>
  </si>
  <si>
    <t>Sadə tipli çap materiallarından başqa sair çap materialları</t>
  </si>
  <si>
    <t>Kitab və kitabçaların, uşaqlar üçün kitab-şəkillərin və ya şəkil çəkmək üçün kitabların çap edilməsi</t>
  </si>
  <si>
    <t>Neft məhsullarının istehsalı-cəmi</t>
  </si>
  <si>
    <t>Avtobenzinlər</t>
  </si>
  <si>
    <t>Hidrotəmizlənmiş benzin</t>
  </si>
  <si>
    <t>Dizel yanacağı</t>
  </si>
  <si>
    <t>Reaktiv mühərrik yanacağı</t>
  </si>
  <si>
    <t>Soba mazutu</t>
  </si>
  <si>
    <t>Neft bitumu</t>
  </si>
  <si>
    <t>Mühərrik yanacağı</t>
  </si>
  <si>
    <t>Sürtkü yağları</t>
  </si>
  <si>
    <t>Propen (propilen)</t>
  </si>
  <si>
    <t>İzopropil spirti</t>
  </si>
  <si>
    <t>Etilen</t>
  </si>
  <si>
    <t xml:space="preserve">Suda dispersiya və ya həll edilmiş sair boyalar, laklar </t>
  </si>
  <si>
    <t>Karbamid</t>
  </si>
  <si>
    <t xml:space="preserve">Alüminium sulfat və ya barium sulfat </t>
  </si>
  <si>
    <t>Tərkibində digər antibiotiklər olan, pərakəndə satış üçün qablaşdırılan dərmanlar</t>
  </si>
  <si>
    <t xml:space="preserve">min manat </t>
  </si>
  <si>
    <t xml:space="preserve">Tərkibində qarışıq və ya xalis məhsullar olan, digər qruplara daxil edilməyən,   pərakəndə satış üçün qablaşdırılan sair dərmanlar  </t>
  </si>
  <si>
    <t>Bərk polietilen borular, borucuqlar, şlanqlar, qollar</t>
  </si>
  <si>
    <t>Bərk polipropilen borular, borucuqlar, şlanqlar, qollar</t>
  </si>
  <si>
    <t>Digər qruplara daxil edilməyən sair bərk  polietilen borular, borucuqlar, şlanqlar, qollar</t>
  </si>
  <si>
    <t>Plastik tara</t>
  </si>
  <si>
    <t>Butullar, butulkalar və həcmi 2 litrdən çox olmayan oxşar plastik məmulatlar</t>
  </si>
  <si>
    <t>Sement</t>
  </si>
  <si>
    <t xml:space="preserve">min ton </t>
  </si>
  <si>
    <t>Betondan yığma tikinti konstruksiyaları</t>
  </si>
  <si>
    <t>min m3</t>
  </si>
  <si>
    <t>Hörmə üçün hazır olan beton qarışığı</t>
  </si>
  <si>
    <t>Asfalt</t>
  </si>
  <si>
    <t>Tikinti kərpicləri</t>
  </si>
  <si>
    <t>Kağız örtüklü quru mala təbəqələri və tikinti kartonu təbəqələri</t>
  </si>
  <si>
    <t>Tikinti gipsi</t>
  </si>
  <si>
    <t>Vərəqə şüşə</t>
  </si>
  <si>
    <t>Döşəmə, sobalar və divar üçün keramika tavaları və lövhələri</t>
  </si>
  <si>
    <t xml:space="preserve">Yonulmuş/mişarlanmış, üst qatı düz/hamar, digər emala məruz qalan mərmər, travertin, (əhəng tufu), alebastr </t>
  </si>
  <si>
    <t>Qeyri-cins polad külcələr və tikişsiz boruların istehsalı üçün yarımfabrikatlar</t>
  </si>
  <si>
    <t>Tikişsiz boruların istehsalı üçün cins polad külçələri, paslanmayan poladdan başqa</t>
  </si>
  <si>
    <t>Qeyri-cins poladdan dəstələr şəklində deformasiyaya uğradılmış katankalar (girdə çubuklar)</t>
  </si>
  <si>
    <t>Alüminium vərəqə</t>
  </si>
  <si>
    <t>İlkin alüminium</t>
  </si>
  <si>
    <t xml:space="preserve">Qara metallardan yığma tikinti konstruksiyaları </t>
  </si>
  <si>
    <t xml:space="preserve">Təbəqə materialından sair konstruksiyalar  </t>
  </si>
  <si>
    <t>Qara metallardan elektrik izolyasiyası olmayan çoxdamarlı məftil, tros və kanatlar</t>
  </si>
  <si>
    <t>Digər qruplara daxil edilməyən, avtomatik tənzimləmə və idarəetmə  üçün cihaz və aparatlar</t>
  </si>
  <si>
    <t xml:space="preserve">Güc 650 kVA-dən çox olmayan maye dielektrikli transformatorlar </t>
  </si>
  <si>
    <t xml:space="preserve">Güc 650 kVA-dən çox olan, lakin 10000 kVA-dən çox olmayan maye dielektrikli transformatorlar </t>
  </si>
  <si>
    <t>Gücü 10000 kVA-dən çox olan maye dielektrikli transformatorlar</t>
  </si>
  <si>
    <t xml:space="preserve">1000 V-dan çox olmayan gərginlik üçün birləşdirici detalları olan elektrik cərəyan naqilləri </t>
  </si>
  <si>
    <t xml:space="preserve">Məişət soyuducuları </t>
  </si>
  <si>
    <t xml:space="preserve">Müvafiq aparatlarla komplektləş-dirilməyən məmulat üçün paylaşdırıcı   lövhələr, panellər, konsollar, stollar, şkaflar və sair əsaslar  </t>
  </si>
  <si>
    <t>Maye üçün nasosların və maye qaldırıcılarının hissələri</t>
  </si>
  <si>
    <t>Odsöndürənlər</t>
  </si>
  <si>
    <t>Traktorlar</t>
  </si>
  <si>
    <t>Yük avtomobilləri</t>
  </si>
  <si>
    <t>Qoşqular və yarımqoşqular</t>
  </si>
  <si>
    <t>Minik avtomobilləri</t>
  </si>
  <si>
    <t xml:space="preserve">Yol qurğuları və armaturu da daxil edilməklə, yollar üçün avadanlıq və materiallar:   dəmir yolu və tramvay yolları üçün avadanlıq hissələri  </t>
  </si>
  <si>
    <t xml:space="preserve">Dəmir yolu lokomotovlərinin və motorlu vaqonların, motorlu tramvay vaqonlarının  və dəmir yolu nəqliyyatı vasitələrinin bərpa edilməsi </t>
  </si>
  <si>
    <t>Gəmilərin və üzən qurğuların qayırılması</t>
  </si>
  <si>
    <t>Ofis tipli taxta mebellər</t>
  </si>
  <si>
    <t>Mətbəxt üçün ağac mebellər</t>
  </si>
  <si>
    <t>Yataq otağı üçün taxta mebellər</t>
  </si>
  <si>
    <t>Taxta karkaslı oturmaq üçün üz çəkilmiş mebel</t>
  </si>
  <si>
    <t>Gəmilərin, qayıqların və s. üzən vasitələrin (gəzinti və idman gəmilərindən başqa) təmiri</t>
  </si>
  <si>
    <t>QVt.s</t>
  </si>
  <si>
    <t>Qaz zavodlarının qazı (karbonlaşdırma, krekinq, qazlaşdırma və ya qazın və/və ya qaz zavodlarının havasının sadə qarışığı yolu ilə alınan qaz)</t>
  </si>
  <si>
    <t>İstehlakçılara satılan su</t>
  </si>
  <si>
    <t>mln. m3</t>
  </si>
  <si>
    <t>Nəqliyyat və rabitə</t>
  </si>
  <si>
    <t>Nəqliyyat üzrə</t>
  </si>
  <si>
    <t>Nəqliyyat sektorunda yük daşınması - cəmi</t>
  </si>
  <si>
    <t>mln ton</t>
  </si>
  <si>
    <t>Dəmir yolu</t>
  </si>
  <si>
    <t>Avtomobil</t>
  </si>
  <si>
    <t>Dəniz</t>
  </si>
  <si>
    <t>Hava</t>
  </si>
  <si>
    <t>Boru kəməri</t>
  </si>
  <si>
    <t>Neft kəməri</t>
  </si>
  <si>
    <t>BTC üzrə</t>
  </si>
  <si>
    <t>Qaz kəməri</t>
  </si>
  <si>
    <t>CQBK üzrə</t>
  </si>
  <si>
    <t>Nəqliyyat sektorunda yük dövriyyəsi - cəmi</t>
  </si>
  <si>
    <t>mlrd t-km</t>
  </si>
  <si>
    <t>Nəqliyyat sektorunda sərnişin dövriyyəsi</t>
  </si>
  <si>
    <t>mln sərn.-km</t>
  </si>
  <si>
    <t>Avtobus və taksi</t>
  </si>
  <si>
    <t>Metro</t>
  </si>
  <si>
    <t>Rabitə üzrə</t>
  </si>
  <si>
    <t>Mobil telefon abunəçilərinin (nömrələrin) sayı</t>
  </si>
  <si>
    <t>Əsas telefon aparatlarının sayı</t>
  </si>
  <si>
    <t>Əhalinin hər 100 nəfərinə düşən əsas telefon aparatlarının sayı</t>
  </si>
  <si>
    <t>4.3</t>
  </si>
  <si>
    <t>4.4</t>
  </si>
  <si>
    <t>4.5</t>
  </si>
  <si>
    <t>Cari əməliyyatlar hesabı</t>
  </si>
  <si>
    <t>Mal və xidmətlərin ticarət və tədiyə balansına görə idxalının və ixracının əsas göstəriciləri, onun strukturu (tədiyə balansı metodologiyası)</t>
  </si>
  <si>
    <t>Orta illik inflyasiya və yaşayış minimumu</t>
  </si>
  <si>
    <t>Əsas kapitala daxili və xarici investisiyalar (strukturu və real artım sürətləri)</t>
  </si>
  <si>
    <t>Neftin dünya bazarında qiyməti</t>
  </si>
  <si>
    <t>Azərbaycan Respublikasında istehsal olunan əsas məhsul növlərinin sahələr üzrə natural göstəricilərinin proqnozu (o cümlədən aksizli məhsulların növləri üzrə)</t>
  </si>
  <si>
    <t>Ümumi Daxili Məhsulun sahə strukturu</t>
  </si>
  <si>
    <t>Ümumi Daxili Məhsulun istehsal strukturu (onların artım və deflyator indeksləri, ümumi buraxılışı, aralıq istehlakı, əlavə dəyəri)</t>
  </si>
  <si>
    <t>Ət (diri çəkidə)</t>
  </si>
  <si>
    <t>Mis filizləri</t>
  </si>
  <si>
    <t>Təbii suyun təmizlənməsi və boru kəməri ilə bölüşdürülməsi xidmətləri</t>
  </si>
  <si>
    <t xml:space="preserve">Quru qaz </t>
  </si>
  <si>
    <t>Neft koksu</t>
  </si>
  <si>
    <t>Digər qruplara daxil edilməyən doymamış açıq zənсirli karbohidrogenlər</t>
  </si>
  <si>
    <t>Alüminium sulfat və ya barium sulfat</t>
  </si>
  <si>
    <t>Külək və günəşlə işləyən stansiyalarının elektriki</t>
  </si>
  <si>
    <t>Cəmi investisiyalarda xüsusi çəkisi</t>
  </si>
  <si>
    <t>Tündlüyü 45.4% və daha az olan araq</t>
  </si>
  <si>
    <t>Səməni pivəsi</t>
  </si>
  <si>
    <t>Viski, konyak</t>
  </si>
  <si>
    <t>Metanol (metil spirti)</t>
  </si>
  <si>
    <t>Üzüm şərabı və təzə üzümdən
köpüklənən şərab</t>
  </si>
  <si>
    <t>Sənayedə emal olunmuş tütün, tütün ekstraktları və essensiyaları, digər qruplara daxil edilməyən homogenləşdirilmiş və ya bərpa edilmiş tütün</t>
  </si>
  <si>
    <t>Xüsusi çəkisi 0,94-dən az olan xətti polietilen, ilkin formalarda</t>
  </si>
  <si>
    <t>İstilik Elektrik Stansiyalarının (İES) şərti termik elektriki (hasilat xammalı ilə işləyən İES-də istehsal edilən) </t>
  </si>
  <si>
    <t>Ümumi Daxili Məhsul (real artım tempi, deflyatoru, neft-qaz və qeyri neft-qaz sektorunun payı, onların real artım tempi və deflyatoru)</t>
  </si>
  <si>
    <t>Neft-qaz sektoru, ÜDM, bazar qiymətləri ilə</t>
  </si>
  <si>
    <t>Qeyri neft-qaz sektoru, ÜDM, bazar qiymətləri ilə</t>
  </si>
  <si>
    <t>Neft/Qeyri neft-qaz</t>
  </si>
  <si>
    <t>Tərkibində tütün və ya tütün qarışıqları və onun əvəzediciləri olan siqarlar*</t>
  </si>
  <si>
    <t>Digər ilkin formalarda polipropilen</t>
  </si>
  <si>
    <t>5.1.</t>
  </si>
  <si>
    <t>Əhaliyə göstərilən ödənişli xidmətlər</t>
  </si>
  <si>
    <t>Əhalinin gəlirləri, xərcləri, orta aylıq əməkhaqqı, əhaliyə göstərilən ödənişli xidmətlər, məşğulluq və onların artım sürətləri</t>
  </si>
  <si>
    <t>ASİS-də olan ad</t>
  </si>
  <si>
    <t>Mənbə / qeyd</t>
  </si>
  <si>
    <t>Ümumi daxili məhsul (bazar qiymətləri ilə)</t>
  </si>
  <si>
    <t>DSK (stat.gov.az / ASİS)</t>
  </si>
  <si>
    <t>Real artım tempi</t>
  </si>
  <si>
    <t>ÜDM deflyatoru</t>
  </si>
  <si>
    <t>Neft-qaz sektoru üzrə ÜDM (bazar qiymətləri ilə)</t>
  </si>
  <si>
    <t>Deflyator</t>
  </si>
  <si>
    <t>ÜDM-də xüsusi çəkisi</t>
  </si>
  <si>
    <t>Qeyri-neft-qaz sektoru üzrə ÜDM (bazar qiymətləri ilə)</t>
  </si>
  <si>
    <t>DSK; AMB</t>
  </si>
  <si>
    <t>Kənd təsərrüfatı, meşə təsərrüfatı və balıqçılıq</t>
  </si>
  <si>
    <t>Ümumi buraxılış</t>
  </si>
  <si>
    <t>Aralıq istehlak</t>
  </si>
  <si>
    <t>Əlavə dəyər</t>
  </si>
  <si>
    <t>Əlavə dəyərin xüsusi çəkisi</t>
  </si>
  <si>
    <t>Xam neft və təbii qazın hasilatı</t>
  </si>
  <si>
    <t>Rəsmi adı dəqiqləşdirilməlidir (açıq mənbədə tapılmadı)</t>
  </si>
  <si>
    <t>Toxuculuq sənayesi məhsullarının istehsalı</t>
  </si>
  <si>
    <t>Ağacın emalı və ağacdan məmulatların istehsalı</t>
  </si>
  <si>
    <t>Poliqrafiya məhsullarının istehsalı</t>
  </si>
  <si>
    <t>Kimya sənayesi məhsullarının istehsalı</t>
  </si>
  <si>
    <t>Rezin və plastik kütlə məmulatlarının istehsalı</t>
  </si>
  <si>
    <t>Metallurgiya sənayesi məhsullarının istehsalı</t>
  </si>
  <si>
    <t>Kompüter, elektron və optik məhsulların istehsalı</t>
  </si>
  <si>
    <t>Maşın və avadanlıqların istehsalı</t>
  </si>
  <si>
    <t>Avtomobil, qoşqu və yarımqoşquların istehsalı</t>
  </si>
  <si>
    <t>Mebel istehsalı</t>
  </si>
  <si>
    <t>Maşın və avadanlıqların quraşdırılması və təmiri işləri</t>
  </si>
  <si>
    <t>Neft-qaz sənayesi</t>
  </si>
  <si>
    <t>Qeyri-neft-qaz sənayesi</t>
  </si>
  <si>
    <t>Xalis vergilərin həcmi</t>
  </si>
  <si>
    <t>Bitkiçilik</t>
  </si>
  <si>
    <t>Dənli və dənli paxlalı bitkilər</t>
  </si>
  <si>
    <t>Yaşıl çay yarpağı</t>
  </si>
  <si>
    <t>Heyvandarlıq</t>
  </si>
  <si>
    <t>o cümlədən qoyun və keçi əti</t>
  </si>
  <si>
    <t>İnək və camışlar</t>
  </si>
  <si>
    <t>Quşlar</t>
  </si>
  <si>
    <t>Təbii qaz hasilatı</t>
  </si>
  <si>
    <t>Əmtəəlik qaz</t>
  </si>
  <si>
    <t>Tündlüyü 45,4% və daha az olan araq</t>
  </si>
  <si>
    <t>Üzüm şərabı və təzə üzümdən köpüklənən şərab</t>
  </si>
  <si>
    <t>Kişi və ya oğlanlar üçün pambıqdan və ya kimyəvi liflərdən hazırlanan istehsalat və ya peşə komplektləri</t>
  </si>
  <si>
    <t>Sair taxta lövhə parket</t>
  </si>
  <si>
    <t>Avtomobil benzini</t>
  </si>
  <si>
    <t>Quru qaz</t>
  </si>
  <si>
    <t>Təkrar sətir — 119-cu sətirlə eynidir</t>
  </si>
  <si>
    <t>Suda dispersiya və ya həll edilmiş sair boyalar, laklar</t>
  </si>
  <si>
    <t>Təkrar sətir — 115-ci sətirlə eynidir</t>
  </si>
  <si>
    <t>Tərkibində qarışıq və ya xalis məhsullar olan, digər qruplara daxil edilməyən, pərakəndə satış üçün qablaşdırılan sair dərmanlar</t>
  </si>
  <si>
    <t>Digər qruplara daxil edilməyən sair bərk polietilen borular, borucuqlar, şlanqlar, qollar</t>
  </si>
  <si>
    <t>Yonulmuş/mişarlanmış, üst qatı düz/hamar, digər emala məruz qalan mərmər, travertin, (əhəng tufu), alebastr</t>
  </si>
  <si>
    <t>Qara metallardan yığma tikinti konstruksiyaları</t>
  </si>
  <si>
    <t>Təbəqə materialından sair konstruksiyalar</t>
  </si>
  <si>
    <t>Digər qruplara daxil edilməyən, avtomatik tənzimləmə və idarəetmə üçün cihaz və aparatlar</t>
  </si>
  <si>
    <t>Güc 650 kVA-dən çox olmayan maye dielektrikli transformatorlar</t>
  </si>
  <si>
    <t>Güc 650 kVA-dən çox olan, lakin 10000 kVA-dən çox olmayan maye dielektrikli transformatorlar</t>
  </si>
  <si>
    <t>1000 V-dan çox olmayan gərginlik üçün birləşdirici detalları olan elektrik cərəyan naqilləri</t>
  </si>
  <si>
    <t>Məişət soyuducuları</t>
  </si>
  <si>
    <t>Müvafiq aparatlarla komplektləş-dirilməyən məmulat üçün paylaşdırıcı lövhələr, panellər, konsollar, stollar, şkaflar və sair əsaslar</t>
  </si>
  <si>
    <t>Yol qurğuları və armaturu da daxil edilməklə, yollar üçün avadanlıq və materiallar: dəmir yolu və tramvay yolları üçün avadanlıq hissələri</t>
  </si>
  <si>
    <t>Dəmir yolu lokomotovlərinin və motorlu vaqonların, motorlu tramvay vaqonlarının və dəmir yolu nəqliyyatı vasitələrinin bərpa edilməsi</t>
  </si>
  <si>
    <t>İstilik Elektrik Stansiyalarının (İES) şərti termik elektriki (hasilat xammalı ilə işləyən İES-də istehsal edilən)</t>
  </si>
  <si>
    <t>Dəmir yolu nəqliyyatı</t>
  </si>
  <si>
    <t>Avtomobil nəqliyyatı</t>
  </si>
  <si>
    <t>Dəniz nəqliyyatı</t>
  </si>
  <si>
    <t>Hava nəqliyyatı</t>
  </si>
  <si>
    <t>Boru kəməri nəqliyyatı</t>
  </si>
  <si>
    <t>o cümlədən Bakı–Tbilisi–Ceyhan neft kəməri üzrə</t>
  </si>
  <si>
    <t>o cümlədən Cənubi Qafqaz qaz kəməri üzrə</t>
  </si>
  <si>
    <t>Avtomobil nəqliyyatı (avtobus və taksi)</t>
  </si>
  <si>
    <t>Metropoliten</t>
  </si>
  <si>
    <t>Mobil telefon abunəçilərinin sayı</t>
  </si>
  <si>
    <t>DSK — vahid "min abunəçi" olmalıdır, "min nəfər" deyil</t>
  </si>
  <si>
    <t>Hər 100 nəfər əhaliyə düşən əsas telefon aparatlarının sayı</t>
  </si>
  <si>
    <t>Əsas kapitala yönəldilmiş investisiyalar – cəmi</t>
  </si>
  <si>
    <t>Neft-qaz / qeyri-neft-qaz sektoru</t>
  </si>
  <si>
    <t>Mülkiyyət formaları üzrə: dövlət / qeyri-dövlət</t>
  </si>
  <si>
    <t>Dövlət</t>
  </si>
  <si>
    <t>Əhalinin nominal gəlirləri</t>
  </si>
  <si>
    <t>Əhalinin xərcləri</t>
  </si>
  <si>
    <t>Orta aylıq nominal əməkhaqqı</t>
  </si>
  <si>
    <t>Neft-qaz / qeyri-neft-qaz sektoru:</t>
  </si>
  <si>
    <t>Neft-qaz sektorunda</t>
  </si>
  <si>
    <t>Qeyri-neft-qaz sektorunda</t>
  </si>
  <si>
    <t>Məşğul əhalinin sayı</t>
  </si>
  <si>
    <t>Neft-qaz sektorunda muzdla işləyənlərin sayı</t>
  </si>
  <si>
    <t>İstehlak qiymətləri indeksi (orta illik)</t>
  </si>
  <si>
    <t>AMB (tədiyə balansı hesabatı)</t>
  </si>
  <si>
    <t>CARİ ƏMƏLİYYATLAR BALANSI</t>
  </si>
  <si>
    <t>İLKİN GƏLİRLƏR BALANSI</t>
  </si>
  <si>
    <t>TƏKRAR GƏLİRLƏR BALANSI</t>
  </si>
  <si>
    <t>EHTİYAT AKTİVLƏRİNİN DƏYİŞİMİ</t>
  </si>
  <si>
    <t>XALİS SƏHVLƏR VƏ BURAXILIŞLAR</t>
  </si>
  <si>
    <t>Digər xidmətlər</t>
  </si>
  <si>
    <t>Neft-qaz sektoru üzrə</t>
  </si>
  <si>
    <t>Qeyri-neft-qaz sektoru üzrə</t>
  </si>
  <si>
    <t>Daxili mənbələrdən yönəldilmiş investisiyalar</t>
  </si>
  <si>
    <t>Xarici mənbələrdən yönəldilmiş investisiyalar</t>
  </si>
  <si>
    <t>Daxili / Xarici</t>
  </si>
  <si>
    <t>Bostan bitkiləri</t>
  </si>
  <si>
    <t>Neft (qaz kondensatı daxil olmaqla) hasilatı</t>
  </si>
  <si>
    <t>Tərkibində tütün və ya tütün qarışıqları və onun əvəzediciləri olan siqarlar</t>
  </si>
  <si>
    <t>Küləklə və günəş enerjisi ilə işləyən stansiyaların elektriki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</si>
</sst>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Times New Roman"/>
      <family val="1"/>
    </font>
    <font>
      <b/>
      <sz val="9"/>
      <name val="Times New Roman"/>
      <family val="1"/>
    </font>
    <font>
      <b/>
      <sz val="10"/>
      <color rgb="FF0000FF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/>
      <sz val="10"/>
      <color rgb="FF0000FF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2"/>
      </patternFill>
    </fill>
    <fill>
      <patternFill patternType="solid">
        <fgColor indexed="11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5" fillId="0" borderId="0"/>
    <xf numFmtId="0" fontId="5" fillId="4" borderId="0" applyNumberFormat="0" applyFont="0" applyBorder="0" applyAlignment="0" applyProtection="0"/>
    <xf numFmtId="0" fontId="5" fillId="5" borderId="0" applyNumberFormat="0" applyFont="0" applyBorder="0" applyAlignment="0" applyProtection="0"/>
    <xf numFmtId="0" fontId="5" fillId="6" borderId="0" applyNumberFormat="0" applyFont="0" applyBorder="0" applyAlignment="0" applyProtection="0"/>
    <xf numFmtId="0" fontId="5" fillId="7" borderId="0" applyNumberFormat="0" applyFont="0" applyBorder="0" applyAlignment="0" applyProtection="0"/>
    <xf numFmtId="0" fontId="5" fillId="8" borderId="0" applyNumberFormat="0" applyFont="0" applyBorder="0" applyAlignment="0" applyProtection="0"/>
    <xf numFmtId="0" fontId="5" fillId="0" borderId="0"/>
    <xf numFmtId="0" fontId="1" fillId="0" borderId="0"/>
  </cellStyleXfs>
  <cellXfs count="221">
    <xf numFmtId="0" fontId="0" fillId="0" borderId="0" xfId="0"/>
    <xf numFmtId="0" fontId="3" fillId="0" borderId="11" xfId="0" applyNumberFormat="1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164" fontId="3" fillId="0" borderId="0" xfId="0" applyNumberFormat="1" applyFont="1" applyFill="1" applyBorder="1" applyAlignment="1">
      <alignment vertical="top" wrapText="1"/>
    </xf>
    <xf numFmtId="164" fontId="3" fillId="0" borderId="12" xfId="0" applyNumberFormat="1" applyFont="1" applyFill="1" applyBorder="1" applyAlignment="1">
      <alignment vertical="top" wrapText="1"/>
    </xf>
    <xf numFmtId="0" fontId="3" fillId="0" borderId="7" xfId="0" applyNumberFormat="1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vertical="top" wrapText="1"/>
    </xf>
    <xf numFmtId="164" fontId="3" fillId="0" borderId="9" xfId="0" applyNumberFormat="1" applyFont="1" applyFill="1" applyBorder="1" applyAlignment="1">
      <alignment vertical="top" wrapText="1"/>
    </xf>
    <xf numFmtId="164" fontId="3" fillId="0" borderId="8" xfId="0" applyNumberFormat="1" applyFont="1" applyFill="1" applyBorder="1" applyAlignment="1">
      <alignment vertical="top" wrapText="1"/>
    </xf>
    <xf numFmtId="164" fontId="2" fillId="2" borderId="0" xfId="0" applyNumberFormat="1" applyFont="1" applyFill="1" applyBorder="1" applyAlignment="1">
      <alignment vertical="top" wrapText="1"/>
    </xf>
    <xf numFmtId="49" fontId="2" fillId="0" borderId="0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64" fontId="2" fillId="0" borderId="0" xfId="0" applyNumberFormat="1" applyFont="1" applyFill="1" applyBorder="1" applyAlignment="1">
      <alignment vertical="top" wrapText="1"/>
    </xf>
    <xf numFmtId="49" fontId="3" fillId="0" borderId="11" xfId="0" applyNumberFormat="1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64" fontId="4" fillId="0" borderId="0" xfId="0" applyNumberFormat="1" applyFont="1" applyFill="1" applyBorder="1" applyAlignment="1">
      <alignment vertical="top" wrapText="1"/>
    </xf>
    <xf numFmtId="164" fontId="4" fillId="0" borderId="12" xfId="0" applyNumberFormat="1" applyFont="1" applyFill="1" applyBorder="1" applyAlignment="1">
      <alignment vertical="top" wrapText="1"/>
    </xf>
    <xf numFmtId="164" fontId="4" fillId="0" borderId="10" xfId="0" applyNumberFormat="1" applyFont="1" applyFill="1" applyBorder="1" applyAlignment="1">
      <alignment vertical="top" wrapText="1"/>
    </xf>
    <xf numFmtId="164" fontId="4" fillId="0" borderId="6" xfId="0" applyNumberFormat="1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49" fontId="3" fillId="0" borderId="0" xfId="0" applyNumberFormat="1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4" fillId="0" borderId="0" xfId="0" applyNumberFormat="1" applyFont="1" applyFill="1" applyBorder="1" applyAlignment="1">
      <alignment vertical="top" wrapText="1"/>
    </xf>
    <xf numFmtId="49" fontId="4" fillId="0" borderId="10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  <xf numFmtId="164" fontId="3" fillId="0" borderId="0" xfId="0" applyNumberFormat="1" applyFont="1" applyFill="1" applyBorder="1" applyAlignment="1">
      <alignment vertical="top"/>
    </xf>
    <xf numFmtId="0" fontId="3" fillId="0" borderId="9" xfId="0" applyNumberFormat="1" applyFont="1" applyFill="1" applyBorder="1" applyAlignment="1">
      <alignment vertical="top" wrapText="1"/>
    </xf>
    <xf numFmtId="164" fontId="4" fillId="0" borderId="0" xfId="0" applyNumberFormat="1" applyFont="1" applyFill="1" applyBorder="1" applyAlignment="1">
      <alignment vertical="top"/>
    </xf>
    <xf numFmtId="0" fontId="2" fillId="0" borderId="9" xfId="0" applyFont="1" applyFill="1" applyBorder="1" applyAlignment="1">
      <alignment vertical="top" wrapText="1"/>
    </xf>
    <xf numFmtId="0" fontId="4" fillId="0" borderId="9" xfId="0" applyFont="1" applyFill="1" applyBorder="1" applyAlignment="1">
      <alignment vertical="top" wrapText="1"/>
    </xf>
    <xf numFmtId="164" fontId="4" fillId="0" borderId="9" xfId="0" applyNumberFormat="1" applyFont="1" applyFill="1" applyBorder="1" applyAlignment="1">
      <alignment vertical="top" wrapText="1"/>
    </xf>
    <xf numFmtId="164" fontId="4" fillId="0" borderId="9" xfId="0" applyNumberFormat="1" applyFont="1" applyFill="1" applyBorder="1" applyAlignment="1">
      <alignment vertical="top"/>
    </xf>
    <xf numFmtId="49" fontId="3" fillId="0" borderId="0" xfId="0" applyNumberFormat="1" applyFont="1" applyFill="1" applyAlignment="1">
      <alignment vertical="top" wrapText="1"/>
    </xf>
    <xf numFmtId="0" fontId="3" fillId="0" borderId="0" xfId="0" applyFont="1" applyFill="1" applyAlignment="1">
      <alignment vertical="top" wrapText="1"/>
    </xf>
    <xf numFmtId="164" fontId="3" fillId="0" borderId="0" xfId="0" applyNumberFormat="1" applyFont="1" applyFill="1" applyAlignment="1">
      <alignment vertical="top" wrapText="1"/>
    </xf>
    <xf numFmtId="164" fontId="3" fillId="0" borderId="0" xfId="0" applyNumberFormat="1" applyFont="1" applyFill="1" applyBorder="1" applyAlignment="1">
      <alignment vertical="center" wrapText="1"/>
    </xf>
    <xf numFmtId="164" fontId="3" fillId="0" borderId="9" xfId="0" applyNumberFormat="1" applyFont="1" applyFill="1" applyBorder="1" applyAlignment="1">
      <alignment vertical="center" wrapText="1"/>
    </xf>
    <xf numFmtId="49" fontId="3" fillId="0" borderId="15" xfId="0" applyNumberFormat="1" applyFont="1" applyFill="1" applyBorder="1" applyAlignment="1">
      <alignment vertical="top" wrapText="1"/>
    </xf>
    <xf numFmtId="49" fontId="3" fillId="0" borderId="14" xfId="0" applyNumberFormat="1" applyFont="1" applyFill="1" applyBorder="1" applyAlignment="1">
      <alignment vertical="top" wrapText="1"/>
    </xf>
    <xf numFmtId="49" fontId="4" fillId="0" borderId="15" xfId="0" applyNumberFormat="1" applyFont="1" applyFill="1" applyBorder="1" applyAlignment="1">
      <alignment vertical="top" wrapText="1"/>
    </xf>
    <xf numFmtId="49" fontId="4" fillId="0" borderId="13" xfId="0" applyNumberFormat="1" applyFont="1" applyFill="1" applyBorder="1" applyAlignment="1">
      <alignment vertical="top" wrapText="1"/>
    </xf>
    <xf numFmtId="0" fontId="3" fillId="0" borderId="15" xfId="0" applyNumberFormat="1" applyFont="1" applyFill="1" applyBorder="1" applyAlignment="1">
      <alignment vertical="top" wrapText="1"/>
    </xf>
    <xf numFmtId="0" fontId="3" fillId="0" borderId="14" xfId="0" applyNumberFormat="1" applyFont="1" applyFill="1" applyBorder="1" applyAlignment="1">
      <alignment vertical="top" wrapText="1"/>
    </xf>
    <xf numFmtId="2" fontId="3" fillId="0" borderId="7" xfId="0" applyNumberFormat="1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3" fillId="0" borderId="10" xfId="0" applyFont="1" applyFill="1" applyBorder="1" applyAlignment="1">
      <alignment vertical="top" wrapText="1"/>
    </xf>
    <xf numFmtId="49" fontId="4" fillId="0" borderId="14" xfId="0" applyNumberFormat="1" applyFont="1" applyFill="1" applyBorder="1" applyAlignment="1">
      <alignment vertical="top" wrapText="1"/>
    </xf>
    <xf numFmtId="49" fontId="2" fillId="0" borderId="14" xfId="0" applyNumberFormat="1" applyFont="1" applyFill="1" applyBorder="1" applyAlignment="1">
      <alignment vertical="top" wrapText="1"/>
    </xf>
    <xf numFmtId="49" fontId="3" fillId="0" borderId="13" xfId="0" applyNumberFormat="1" applyFont="1" applyFill="1" applyBorder="1" applyAlignment="1">
      <alignment vertical="top" wrapText="1"/>
    </xf>
    <xf numFmtId="0" fontId="3" fillId="0" borderId="11" xfId="0" applyFont="1" applyFill="1" applyBorder="1" applyAlignment="1">
      <alignment vertical="top" wrapText="1"/>
    </xf>
    <xf numFmtId="2" fontId="3" fillId="0" borderId="11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/>
    </xf>
    <xf numFmtId="0" fontId="2" fillId="10" borderId="10" xfId="0" applyFont="1" applyFill="1" applyBorder="1" applyAlignment="1">
      <alignment vertical="top" wrapText="1"/>
    </xf>
    <xf numFmtId="164" fontId="2" fillId="10" borderId="0" xfId="0" applyNumberFormat="1" applyFont="1" applyFill="1" applyBorder="1" applyAlignment="1">
      <alignment vertical="top"/>
    </xf>
    <xf numFmtId="0" fontId="2" fillId="10" borderId="2" xfId="0" applyFont="1" applyFill="1" applyBorder="1" applyAlignment="1">
      <alignment vertical="top" wrapText="1"/>
    </xf>
    <xf numFmtId="164" fontId="2" fillId="10" borderId="2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0" fontId="2" fillId="10" borderId="10" xfId="0" applyNumberFormat="1" applyFont="1" applyFill="1" applyBorder="1" applyAlignment="1">
      <alignment vertical="top" wrapText="1"/>
    </xf>
    <xf numFmtId="0" fontId="2" fillId="10" borderId="13" xfId="0" applyNumberFormat="1" applyFont="1" applyFill="1" applyBorder="1" applyAlignment="1">
      <alignment vertical="top" wrapText="1"/>
    </xf>
    <xf numFmtId="164" fontId="2" fillId="10" borderId="10" xfId="0" applyNumberFormat="1" applyFont="1" applyFill="1" applyBorder="1" applyAlignment="1">
      <alignment vertical="top" wrapText="1"/>
    </xf>
    <xf numFmtId="164" fontId="2" fillId="10" borderId="6" xfId="0" applyNumberFormat="1" applyFont="1" applyFill="1" applyBorder="1" applyAlignment="1">
      <alignment vertical="top" wrapText="1"/>
    </xf>
    <xf numFmtId="49" fontId="2" fillId="10" borderId="13" xfId="0" applyNumberFormat="1" applyFont="1" applyFill="1" applyBorder="1" applyAlignment="1">
      <alignment vertical="top" wrapText="1"/>
    </xf>
    <xf numFmtId="164" fontId="2" fillId="10" borderId="0" xfId="0" applyNumberFormat="1" applyFont="1" applyFill="1" applyBorder="1" applyAlignment="1">
      <alignment vertical="top" wrapText="1"/>
    </xf>
    <xf numFmtId="164" fontId="2" fillId="10" borderId="12" xfId="0" applyNumberFormat="1" applyFont="1" applyFill="1" applyBorder="1" applyAlignment="1">
      <alignment vertical="top" wrapText="1"/>
    </xf>
    <xf numFmtId="49" fontId="2" fillId="10" borderId="10" xfId="0" applyNumberFormat="1" applyFont="1" applyFill="1" applyBorder="1" applyAlignment="1">
      <alignment vertical="top" wrapText="1"/>
    </xf>
    <xf numFmtId="49" fontId="2" fillId="10" borderId="15" xfId="0" applyNumberFormat="1" applyFont="1" applyFill="1" applyBorder="1" applyAlignment="1">
      <alignment vertical="top" wrapText="1"/>
    </xf>
    <xf numFmtId="0" fontId="2" fillId="10" borderId="0" xfId="0" applyNumberFormat="1" applyFont="1" applyFill="1" applyBorder="1" applyAlignment="1">
      <alignment vertical="top" wrapText="1"/>
    </xf>
    <xf numFmtId="0" fontId="2" fillId="10" borderId="15" xfId="0" applyNumberFormat="1" applyFont="1" applyFill="1" applyBorder="1" applyAlignment="1">
      <alignment vertical="top" wrapText="1"/>
    </xf>
    <xf numFmtId="49" fontId="4" fillId="10" borderId="15" xfId="0" applyNumberFormat="1" applyFont="1" applyFill="1" applyBorder="1" applyAlignment="1">
      <alignment vertical="top" wrapText="1"/>
    </xf>
    <xf numFmtId="164" fontId="4" fillId="10" borderId="0" xfId="0" applyNumberFormat="1" applyFont="1" applyFill="1" applyBorder="1" applyAlignment="1">
      <alignment vertical="top" wrapText="1"/>
    </xf>
    <xf numFmtId="164" fontId="4" fillId="10" borderId="12" xfId="0" applyNumberFormat="1" applyFont="1" applyFill="1" applyBorder="1" applyAlignment="1">
      <alignment vertical="top" wrapText="1"/>
    </xf>
    <xf numFmtId="2" fontId="2" fillId="10" borderId="13" xfId="0" applyNumberFormat="1" applyFont="1" applyFill="1" applyBorder="1" applyAlignment="1">
      <alignment vertical="top" wrapText="1"/>
    </xf>
    <xf numFmtId="49" fontId="2" fillId="10" borderId="13" xfId="0" applyNumberFormat="1" applyFont="1" applyFill="1" applyBorder="1" applyAlignment="1">
      <alignment horizontal="left" vertical="top" wrapText="1"/>
    </xf>
    <xf numFmtId="49" fontId="2" fillId="10" borderId="0" xfId="0" applyNumberFormat="1" applyFont="1" applyFill="1" applyBorder="1" applyAlignment="1">
      <alignment vertical="top" wrapText="1"/>
    </xf>
    <xf numFmtId="49" fontId="2" fillId="10" borderId="5" xfId="0" applyNumberFormat="1" applyFont="1" applyFill="1" applyBorder="1" applyAlignment="1">
      <alignment vertical="top" wrapText="1"/>
    </xf>
    <xf numFmtId="49" fontId="2" fillId="10" borderId="14" xfId="0" applyNumberFormat="1" applyFont="1" applyFill="1" applyBorder="1" applyAlignment="1">
      <alignment vertical="top" wrapText="1"/>
    </xf>
    <xf numFmtId="0" fontId="2" fillId="10" borderId="9" xfId="0" applyFont="1" applyFill="1" applyBorder="1" applyAlignment="1">
      <alignment vertical="top" wrapText="1"/>
    </xf>
    <xf numFmtId="164" fontId="2" fillId="10" borderId="9" xfId="0" applyNumberFormat="1" applyFont="1" applyFill="1" applyBorder="1" applyAlignment="1">
      <alignment vertical="top" wrapText="1"/>
    </xf>
    <xf numFmtId="0" fontId="4" fillId="10" borderId="0" xfId="0" applyFont="1" applyFill="1" applyBorder="1" applyAlignment="1">
      <alignment vertical="top" wrapText="1"/>
    </xf>
    <xf numFmtId="164" fontId="4" fillId="10" borderId="0" xfId="0" applyNumberFormat="1" applyFont="1" applyFill="1" applyBorder="1" applyAlignment="1">
      <alignment vertical="top"/>
    </xf>
    <xf numFmtId="1" fontId="3" fillId="0" borderId="9" xfId="0" applyNumberFormat="1" applyFont="1" applyFill="1" applyBorder="1" applyAlignment="1">
      <alignment vertical="top" wrapText="1"/>
    </xf>
    <xf numFmtId="0" fontId="2" fillId="10" borderId="13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center" vertical="top" wrapText="1"/>
    </xf>
    <xf numFmtId="0" fontId="2" fillId="10" borderId="5" xfId="0" applyFont="1" applyFill="1" applyBorder="1" applyAlignment="1">
      <alignment horizontal="center" vertical="top" wrapText="1"/>
    </xf>
    <xf numFmtId="0" fontId="2" fillId="10" borderId="13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4" fillId="0" borderId="15" xfId="0" applyFont="1" applyFill="1" applyBorder="1" applyAlignment="1">
      <alignment horizontal="center" vertical="top" wrapText="1"/>
    </xf>
    <xf numFmtId="0" fontId="4" fillId="0" borderId="13" xfId="0" applyFont="1" applyFill="1" applyBorder="1" applyAlignment="1">
      <alignment horizontal="center" vertical="top" wrapText="1"/>
    </xf>
    <xf numFmtId="0" fontId="3" fillId="0" borderId="15" xfId="0" applyNumberFormat="1" applyFont="1" applyFill="1" applyBorder="1" applyAlignment="1">
      <alignment horizontal="center" vertical="top" wrapText="1"/>
    </xf>
    <xf numFmtId="0" fontId="3" fillId="0" borderId="14" xfId="0" applyNumberFormat="1" applyFont="1" applyFill="1" applyBorder="1" applyAlignment="1">
      <alignment horizontal="center" vertical="top" wrapText="1"/>
    </xf>
    <xf numFmtId="49" fontId="2" fillId="10" borderId="15" xfId="0" applyNumberFormat="1" applyFont="1" applyFill="1" applyBorder="1" applyAlignment="1">
      <alignment horizontal="center" vertical="top" wrapText="1"/>
    </xf>
    <xf numFmtId="49" fontId="3" fillId="0" borderId="15" xfId="0" applyNumberFormat="1" applyFont="1" applyFill="1" applyBorder="1" applyAlignment="1">
      <alignment horizontal="center" vertical="top" wrapText="1"/>
    </xf>
    <xf numFmtId="49" fontId="2" fillId="10" borderId="13" xfId="0" applyNumberFormat="1" applyFont="1" applyFill="1" applyBorder="1" applyAlignment="1">
      <alignment horizontal="center" vertical="top" wrapText="1"/>
    </xf>
    <xf numFmtId="49" fontId="3" fillId="0" borderId="14" xfId="0" applyNumberFormat="1" applyFont="1" applyFill="1" applyBorder="1" applyAlignment="1">
      <alignment horizontal="center" vertical="top" wrapText="1"/>
    </xf>
    <xf numFmtId="49" fontId="4" fillId="0" borderId="15" xfId="0" applyNumberFormat="1" applyFont="1" applyFill="1" applyBorder="1" applyAlignment="1">
      <alignment horizontal="center" vertical="top" wrapText="1"/>
    </xf>
    <xf numFmtId="49" fontId="4" fillId="0" borderId="13" xfId="0" applyNumberFormat="1" applyFont="1" applyFill="1" applyBorder="1" applyAlignment="1">
      <alignment horizontal="center" vertical="top" wrapText="1"/>
    </xf>
    <xf numFmtId="0" fontId="4" fillId="10" borderId="15" xfId="0" applyNumberFormat="1" applyFont="1" applyFill="1" applyBorder="1" applyAlignment="1">
      <alignment horizontal="center" vertical="top" wrapText="1"/>
    </xf>
    <xf numFmtId="0" fontId="4" fillId="0" borderId="15" xfId="0" applyNumberFormat="1" applyFont="1" applyFill="1" applyBorder="1" applyAlignment="1">
      <alignment horizontal="center" vertical="top" wrapText="1"/>
    </xf>
    <xf numFmtId="0" fontId="4" fillId="0" borderId="14" xfId="0" applyNumberFormat="1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14" xfId="0" applyFont="1" applyFill="1" applyBorder="1" applyAlignment="1">
      <alignment horizontal="center" vertical="top" wrapText="1"/>
    </xf>
    <xf numFmtId="0" fontId="2" fillId="10" borderId="15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10" borderId="15" xfId="0" applyFont="1" applyFill="1" applyBorder="1" applyAlignment="1">
      <alignment horizontal="center" vertical="top" wrapText="1"/>
    </xf>
    <xf numFmtId="0" fontId="2" fillId="10" borderId="14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164" fontId="4" fillId="0" borderId="12" xfId="0" applyNumberFormat="1" applyFont="1" applyFill="1" applyBorder="1" applyAlignment="1">
      <alignment vertical="center" wrapText="1"/>
    </xf>
    <xf numFmtId="164" fontId="4" fillId="0" borderId="0" xfId="0" applyNumberFormat="1" applyFont="1" applyFill="1" applyBorder="1" applyAlignment="1">
      <alignment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49" fontId="4" fillId="10" borderId="13" xfId="0" applyNumberFormat="1" applyFont="1" applyFill="1" applyBorder="1" applyAlignment="1">
      <alignment vertical="top" wrapText="1"/>
    </xf>
    <xf numFmtId="0" fontId="4" fillId="10" borderId="13" xfId="0" applyNumberFormat="1" applyFont="1" applyFill="1" applyBorder="1" applyAlignment="1">
      <alignment horizontal="center" vertical="top" wrapText="1"/>
    </xf>
    <xf numFmtId="164" fontId="4" fillId="10" borderId="10" xfId="0" applyNumberFormat="1" applyFont="1" applyFill="1" applyBorder="1" applyAlignment="1">
      <alignment vertical="top" wrapText="1"/>
    </xf>
    <xf numFmtId="164" fontId="4" fillId="10" borderId="6" xfId="0" applyNumberFormat="1" applyFont="1" applyFill="1" applyBorder="1" applyAlignment="1">
      <alignment vertical="top" wrapText="1"/>
    </xf>
    <xf numFmtId="164" fontId="2" fillId="0" borderId="10" xfId="0" applyNumberFormat="1" applyFont="1" applyFill="1" applyBorder="1" applyAlignment="1">
      <alignment vertical="top" wrapText="1"/>
    </xf>
    <xf numFmtId="2" fontId="2" fillId="10" borderId="4" xfId="0" applyNumberFormat="1" applyFont="1" applyFill="1" applyBorder="1" applyAlignment="1">
      <alignment vertical="top" wrapText="1"/>
    </xf>
    <xf numFmtId="0" fontId="2" fillId="10" borderId="4" xfId="0" applyNumberFormat="1" applyFont="1" applyFill="1" applyBorder="1" applyAlignment="1">
      <alignment vertical="top" wrapText="1"/>
    </xf>
    <xf numFmtId="0" fontId="4" fillId="10" borderId="11" xfId="0" applyNumberFormat="1" applyFont="1" applyFill="1" applyBorder="1" applyAlignment="1">
      <alignment vertical="top" wrapText="1"/>
    </xf>
    <xf numFmtId="0" fontId="3" fillId="0" borderId="11" xfId="0" applyNumberFormat="1" applyFont="1" applyFill="1" applyBorder="1" applyAlignment="1">
      <alignment horizontal="left" vertical="top" wrapText="1" indent="1"/>
    </xf>
    <xf numFmtId="2" fontId="4" fillId="10" borderId="11" xfId="0" applyNumberFormat="1" applyFont="1" applyFill="1" applyBorder="1" applyAlignment="1">
      <alignment vertical="top" wrapText="1"/>
    </xf>
    <xf numFmtId="0" fontId="3" fillId="0" borderId="11" xfId="0" applyNumberFormat="1" applyFont="1" applyFill="1" applyBorder="1" applyAlignment="1">
      <alignment horizontal="left" vertical="top" wrapText="1"/>
    </xf>
    <xf numFmtId="2" fontId="3" fillId="0" borderId="11" xfId="0" applyNumberFormat="1" applyFont="1" applyFill="1" applyBorder="1" applyAlignment="1">
      <alignment horizontal="left" vertical="top" wrapText="1"/>
    </xf>
    <xf numFmtId="49" fontId="3" fillId="0" borderId="11" xfId="0" applyNumberFormat="1" applyFont="1" applyFill="1" applyBorder="1" applyAlignment="1">
      <alignment horizontal="left" vertical="top" wrapText="1"/>
    </xf>
    <xf numFmtId="0" fontId="3" fillId="0" borderId="7" xfId="0" applyNumberFormat="1" applyFont="1" applyFill="1" applyBorder="1" applyAlignment="1">
      <alignment horizontal="left" vertical="top" wrapText="1"/>
    </xf>
    <xf numFmtId="0" fontId="2" fillId="10" borderId="11" xfId="0" applyNumberFormat="1" applyFont="1" applyFill="1" applyBorder="1" applyAlignment="1">
      <alignment vertical="top" wrapText="1"/>
    </xf>
    <xf numFmtId="49" fontId="4" fillId="10" borderId="11" xfId="0" applyNumberFormat="1" applyFont="1" applyFill="1" applyBorder="1" applyAlignment="1">
      <alignment vertical="top" wrapText="1"/>
    </xf>
    <xf numFmtId="2" fontId="4" fillId="10" borderId="4" xfId="0" applyNumberFormat="1" applyFont="1" applyFill="1" applyBorder="1" applyAlignment="1">
      <alignment vertical="top" wrapText="1"/>
    </xf>
    <xf numFmtId="0" fontId="3" fillId="0" borderId="7" xfId="0" applyNumberFormat="1" applyFont="1" applyFill="1" applyBorder="1" applyAlignment="1">
      <alignment horizontal="left" vertical="top" wrapText="1" indent="1"/>
    </xf>
    <xf numFmtId="0" fontId="4" fillId="0" borderId="11" xfId="0" applyNumberFormat="1" applyFont="1" applyFill="1" applyBorder="1" applyAlignment="1">
      <alignment vertical="top" wrapText="1"/>
    </xf>
    <xf numFmtId="0" fontId="3" fillId="0" borderId="11" xfId="0" applyNumberFormat="1" applyFont="1" applyFill="1" applyBorder="1" applyAlignment="1">
      <alignment horizontal="left" vertical="top" wrapText="1" indent="2"/>
    </xf>
    <xf numFmtId="0" fontId="4" fillId="0" borderId="7" xfId="0" applyNumberFormat="1" applyFont="1" applyFill="1" applyBorder="1" applyAlignment="1">
      <alignment vertical="top" wrapText="1"/>
    </xf>
    <xf numFmtId="0" fontId="2" fillId="10" borderId="10" xfId="0" applyNumberFormat="1" applyFont="1" applyFill="1" applyBorder="1" applyAlignment="1">
      <alignment horizontal="center" vertical="top" wrapText="1"/>
    </xf>
    <xf numFmtId="0" fontId="2" fillId="10" borderId="6" xfId="0" applyNumberFormat="1" applyFont="1" applyFill="1" applyBorder="1" applyAlignment="1">
      <alignment horizontal="center" vertical="top" wrapText="1"/>
    </xf>
    <xf numFmtId="49" fontId="4" fillId="0" borderId="4" xfId="0" applyNumberFormat="1" applyFont="1" applyFill="1" applyBorder="1" applyAlignment="1">
      <alignment vertical="top" wrapText="1"/>
    </xf>
    <xf numFmtId="0" fontId="2" fillId="11" borderId="9" xfId="0" applyFont="1" applyFill="1" applyBorder="1" applyAlignment="1">
      <alignment horizontal="center" vertical="top" wrapText="1"/>
    </xf>
    <xf numFmtId="49" fontId="4" fillId="10" borderId="14" xfId="0" applyNumberFormat="1" applyFont="1" applyFill="1" applyBorder="1" applyAlignment="1">
      <alignment vertical="top" wrapText="1"/>
    </xf>
    <xf numFmtId="0" fontId="4" fillId="10" borderId="9" xfId="0" applyFont="1" applyFill="1" applyBorder="1" applyAlignment="1">
      <alignment vertical="top" wrapText="1"/>
    </xf>
    <xf numFmtId="0" fontId="4" fillId="10" borderId="14" xfId="0" applyFont="1" applyFill="1" applyBorder="1" applyAlignment="1">
      <alignment horizontal="center" vertical="top" wrapText="1"/>
    </xf>
    <xf numFmtId="164" fontId="4" fillId="10" borderId="9" xfId="0" applyNumberFormat="1" applyFont="1" applyFill="1" applyBorder="1" applyAlignment="1">
      <alignment vertical="top"/>
    </xf>
    <xf numFmtId="0" fontId="2" fillId="0" borderId="10" xfId="0" applyFont="1" applyFill="1" applyBorder="1" applyAlignment="1">
      <alignment vertical="top" wrapText="1"/>
    </xf>
    <xf numFmtId="0" fontId="2" fillId="11" borderId="2" xfId="0" applyFont="1" applyFill="1" applyBorder="1" applyAlignment="1">
      <alignment horizontal="center" vertical="top" wrapText="1"/>
    </xf>
    <xf numFmtId="0" fontId="2" fillId="11" borderId="0" xfId="0" applyFont="1" applyFill="1" applyBorder="1" applyAlignment="1">
      <alignment horizontal="center" vertical="top" wrapText="1"/>
    </xf>
    <xf numFmtId="164" fontId="2" fillId="0" borderId="2" xfId="0" applyNumberFormat="1" applyFont="1" applyFill="1" applyBorder="1" applyAlignment="1">
      <alignment vertical="top" wrapText="1"/>
    </xf>
    <xf numFmtId="164" fontId="2" fillId="0" borderId="3" xfId="0" applyNumberFormat="1" applyFont="1" applyFill="1" applyBorder="1" applyAlignment="1">
      <alignment vertical="top" wrapText="1"/>
    </xf>
    <xf numFmtId="0" fontId="2" fillId="10" borderId="4" xfId="0" applyFont="1" applyFill="1" applyBorder="1" applyAlignment="1">
      <alignment vertical="top" wrapText="1"/>
    </xf>
    <xf numFmtId="0" fontId="3" fillId="0" borderId="11" xfId="0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vertical="top" wrapText="1"/>
    </xf>
    <xf numFmtId="0" fontId="3" fillId="0" borderId="7" xfId="0" applyFont="1" applyFill="1" applyBorder="1" applyAlignment="1">
      <alignment horizontal="left" vertical="top" wrapText="1"/>
    </xf>
    <xf numFmtId="164" fontId="2" fillId="10" borderId="6" xfId="0" applyNumberFormat="1" applyFont="1" applyFill="1" applyBorder="1" applyAlignment="1">
      <alignment vertical="top"/>
    </xf>
    <xf numFmtId="49" fontId="2" fillId="0" borderId="10" xfId="0" applyNumberFormat="1" applyFont="1" applyFill="1" applyBorder="1" applyAlignment="1">
      <alignment vertical="top" wrapText="1"/>
    </xf>
    <xf numFmtId="0" fontId="2" fillId="0" borderId="10" xfId="0" applyFont="1" applyFill="1" applyBorder="1" applyAlignment="1">
      <alignment horizontal="center" vertical="top" wrapText="1"/>
    </xf>
    <xf numFmtId="0" fontId="2" fillId="11" borderId="6" xfId="0" applyFont="1" applyFill="1" applyBorder="1" applyAlignment="1">
      <alignment horizontal="center" vertical="top" wrapText="1"/>
    </xf>
    <xf numFmtId="0" fontId="2" fillId="11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top" wrapText="1"/>
    </xf>
    <xf numFmtId="0" fontId="2" fillId="11" borderId="3" xfId="0" applyFont="1" applyFill="1" applyBorder="1" applyAlignment="1">
      <alignment horizontal="center" vertical="top" wrapText="1"/>
    </xf>
    <xf numFmtId="0" fontId="2" fillId="9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vertical="top" wrapText="1"/>
    </xf>
    <xf numFmtId="164" fontId="9" fillId="0" borderId="0" xfId="0" applyNumberFormat="1" applyFont="1" applyFill="1" applyAlignment="1">
      <alignment vertical="top" wrapText="1"/>
    </xf>
    <xf numFmtId="0" fontId="9" fillId="0" borderId="9" xfId="0" applyFont="1" applyFill="1" applyBorder="1" applyAlignment="1">
      <alignment horizontal="left" vertical="top" wrapText="1"/>
    </xf>
    <xf numFmtId="0" fontId="8" fillId="10" borderId="10" xfId="0" applyNumberFormat="1" applyFont="1" applyFill="1" applyBorder="1" applyAlignment="1">
      <alignment vertical="top" wrapText="1"/>
    </xf>
    <xf numFmtId="49" fontId="10" fillId="0" borderId="0" xfId="0" applyNumberFormat="1" applyFont="1" applyFill="1" applyBorder="1" applyAlignment="1">
      <alignment vertical="top" wrapText="1"/>
    </xf>
    <xf numFmtId="49" fontId="10" fillId="0" borderId="10" xfId="0" applyNumberFormat="1" applyFont="1" applyFill="1" applyBorder="1" applyAlignment="1">
      <alignment vertical="top" wrapText="1"/>
    </xf>
    <xf numFmtId="0" fontId="8" fillId="10" borderId="0" xfId="0" applyNumberFormat="1" applyFont="1" applyFill="1" applyBorder="1" applyAlignment="1">
      <alignment vertical="top" wrapText="1"/>
    </xf>
    <xf numFmtId="49" fontId="10" fillId="0" borderId="4" xfId="0" applyNumberFormat="1" applyFont="1" applyFill="1" applyBorder="1" applyAlignment="1">
      <alignment vertical="top" wrapText="1"/>
    </xf>
    <xf numFmtId="49" fontId="9" fillId="0" borderId="0" xfId="0" applyNumberFormat="1" applyFont="1" applyFill="1" applyBorder="1" applyAlignment="1">
      <alignment vertical="top" wrapText="1"/>
    </xf>
    <xf numFmtId="0" fontId="8" fillId="10" borderId="4" xfId="0" applyNumberFormat="1" applyFont="1" applyFill="1" applyBorder="1" applyAlignment="1">
      <alignment vertical="top" wrapText="1"/>
    </xf>
    <xf numFmtId="0" fontId="10" fillId="10" borderId="11" xfId="0" applyNumberFormat="1" applyFont="1" applyFill="1" applyBorder="1" applyAlignment="1">
      <alignment vertical="top" wrapText="1"/>
    </xf>
    <xf numFmtId="0" fontId="9" fillId="0" borderId="11" xfId="0" applyNumberFormat="1" applyFont="1" applyFill="1" applyBorder="1" applyAlignment="1">
      <alignment vertical="top" wrapText="1"/>
    </xf>
    <xf numFmtId="0" fontId="9" fillId="0" borderId="7" xfId="0" applyNumberFormat="1" applyFont="1" applyFill="1" applyBorder="1" applyAlignment="1">
      <alignment vertical="top" wrapText="1"/>
    </xf>
    <xf numFmtId="0" fontId="9" fillId="0" borderId="11" xfId="0" applyNumberFormat="1" applyFont="1" applyFill="1" applyBorder="1" applyAlignment="1">
      <alignment horizontal="left" vertical="top" wrapText="1" indent="1"/>
    </xf>
    <xf numFmtId="2" fontId="10" fillId="10" borderId="11" xfId="0" applyNumberFormat="1" applyFont="1" applyFill="1" applyBorder="1" applyAlignment="1">
      <alignment vertical="top" wrapText="1"/>
    </xf>
    <xf numFmtId="0" fontId="9" fillId="0" borderId="11" xfId="0" applyNumberFormat="1" applyFont="1" applyFill="1" applyBorder="1" applyAlignment="1">
      <alignment horizontal="left" vertical="top" wrapText="1"/>
    </xf>
    <xf numFmtId="2" fontId="10" fillId="10" borderId="4" xfId="0" applyNumberFormat="1" applyFont="1" applyFill="1" applyBorder="1" applyAlignment="1">
      <alignment vertical="top" wrapText="1"/>
    </xf>
    <xf numFmtId="0" fontId="9" fillId="0" borderId="7" xfId="0" applyNumberFormat="1" applyFont="1" applyFill="1" applyBorder="1" applyAlignment="1">
      <alignment horizontal="left" vertical="top" wrapText="1"/>
    </xf>
    <xf numFmtId="0" fontId="9" fillId="0" borderId="11" xfId="0" applyNumberFormat="1" applyFont="1" applyFill="1" applyBorder="1" applyAlignment="1">
      <alignment horizontal="left" vertical="top" wrapText="1" indent="2"/>
    </xf>
    <xf numFmtId="0" fontId="9" fillId="0" borderId="7" xfId="0" applyNumberFormat="1" applyFont="1" applyFill="1" applyBorder="1" applyAlignment="1">
      <alignment horizontal="left" vertical="top" wrapText="1" indent="1"/>
    </xf>
    <xf numFmtId="0" fontId="10" fillId="0" borderId="11" xfId="0" applyNumberFormat="1" applyFont="1" applyFill="1" applyBorder="1" applyAlignment="1">
      <alignment vertical="top" wrapText="1"/>
    </xf>
    <xf numFmtId="0" fontId="10" fillId="0" borderId="7" xfId="0" applyNumberFormat="1" applyFont="1" applyFill="1" applyBorder="1" applyAlignment="1">
      <alignment vertical="top" wrapText="1"/>
    </xf>
    <xf numFmtId="0" fontId="8" fillId="10" borderId="4" xfId="0" applyFont="1" applyFill="1" applyBorder="1" applyAlignment="1">
      <alignment vertical="top" wrapText="1"/>
    </xf>
    <xf numFmtId="0" fontId="9" fillId="0" borderId="11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vertical="top" wrapText="1"/>
    </xf>
    <xf numFmtId="0" fontId="9" fillId="0" borderId="7" xfId="0" applyFont="1" applyFill="1" applyBorder="1" applyAlignment="1">
      <alignment horizontal="left" vertical="top" wrapText="1"/>
    </xf>
    <xf numFmtId="0" fontId="8" fillId="11" borderId="5" xfId="0" applyFont="1" applyFill="1" applyBorder="1" applyAlignment="1">
      <alignment horizontal="center" vertical="center" wrapText="1"/>
    </xf>
    <xf numFmtId="49" fontId="8" fillId="10" borderId="10" xfId="0" applyNumberFormat="1" applyFont="1" applyFill="1" applyBorder="1" applyAlignment="1">
      <alignment vertical="top" wrapText="1"/>
    </xf>
    <xf numFmtId="49" fontId="8" fillId="1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8" fillId="10" borderId="2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10" fillId="0" borderId="9" xfId="0" applyFont="1" applyFill="1" applyBorder="1" applyAlignment="1">
      <alignment vertical="top" wrapText="1"/>
    </xf>
    <xf numFmtId="0" fontId="10" fillId="10" borderId="0" xfId="0" applyFont="1" applyFill="1" applyBorder="1" applyAlignment="1">
      <alignment vertical="top" wrapText="1"/>
    </xf>
    <xf numFmtId="0" fontId="8" fillId="10" borderId="9" xfId="0" applyFont="1" applyFill="1" applyBorder="1" applyAlignment="1">
      <alignment vertical="top" wrapText="1"/>
    </xf>
    <xf numFmtId="0" fontId="2" fillId="9" borderId="9" xfId="0" applyNumberFormat="1" applyFont="1" applyFill="1" applyBorder="1" applyAlignment="1">
      <alignment horizontal="center" vertical="center" wrapText="1"/>
    </xf>
    <xf numFmtId="49" fontId="2" fillId="11" borderId="4" xfId="0" applyNumberFormat="1" applyFont="1" applyFill="1" applyBorder="1" applyAlignment="1">
      <alignment vertical="center" wrapText="1"/>
    </xf>
    <xf numFmtId="49" fontId="2" fillId="11" borderId="7" xfId="0" applyNumberFormat="1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49" fontId="2" fillId="11" borderId="13" xfId="0" applyNumberFormat="1" applyFont="1" applyFill="1" applyBorder="1" applyAlignment="1">
      <alignment vertical="center" wrapText="1"/>
    </xf>
    <xf numFmtId="49" fontId="2" fillId="11" borderId="14" xfId="0" applyNumberFormat="1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top" wrapText="1"/>
    </xf>
    <xf numFmtId="49" fontId="7" fillId="0" borderId="10" xfId="0" applyNumberFormat="1" applyFont="1" applyFill="1" applyBorder="1" applyAlignment="1">
      <alignment horizontal="left" vertical="top" wrapText="1"/>
    </xf>
    <xf numFmtId="0" fontId="2" fillId="9" borderId="0" xfId="0" applyNumberFormat="1" applyFont="1" applyFill="1" applyBorder="1" applyAlignment="1">
      <alignment horizontal="center" vertical="center" wrapText="1"/>
    </xf>
  </cellXfs>
  <cellStyles count="9">
    <cellStyle name="=C:\WINNT35\SYSTEM32\COMMAND.COM" xfId="1"/>
    <cellStyle name="XL3 Blue" xfId="2"/>
    <cellStyle name="XL3 Green" xfId="3"/>
    <cellStyle name="XL3 Orange" xfId="4"/>
    <cellStyle name="XL3 Red" xfId="5"/>
    <cellStyle name="XL3 Yellow" xfId="6"/>
    <cellStyle name="Normal" xfId="0" builtinId="0"/>
    <cellStyle name="Обычный 2" xfId="7"/>
    <cellStyle name="Обычный 3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nel.p/Desktop/Modell&#601;r/Modell&#601;r/Makroekonometrik%20model/MOE%20SN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nel.p/Desktop/Modell&#601;r/Modell&#601;r/Makroekonometrik%20model/MOE%20AGR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nel.p/Desktop/Modell&#601;r/Modell&#601;r/Makroekonometrik%20model/MOE%20O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nel.p/Desktop/Modell&#601;r/Modell&#601;r/Makroekonometrik%20model/INDUST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nel.p/Desktop/Modell&#601;r/Modell&#601;r/Makroekonometrik%20model/MOE%20T&amp;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nel.p/Desktop/Modell&#601;r/Modell&#601;r/Makroekonometrik%20model/MOE%20SOCI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nel.p/Desktop/Modell&#601;r/Modell&#601;r/Makroekonometrik%20model/MOE%20INF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nel.p/Desktop/Modell&#601;r/Modell&#601;r/Makroekonometrik%20model/MOE%20B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GDP-GNDI"/>
      <sheetName val="ÜDM xərc metodu"/>
      <sheetName val="xerc metodu"/>
      <sheetName val="ÜDM sahələr üzrə"/>
      <sheetName val="sosial və digər xidmətlər"/>
      <sheetName val="Sahələr_deflyator"/>
      <sheetName val="Investisiya"/>
      <sheetName val="Inv_new"/>
      <sheetName val="emek mehsuldarligi"/>
      <sheetName val="emek mehsuldarligi (1)"/>
      <sheetName val="əməkhaqqı"/>
      <sheetName val="eq"/>
      <sheetName val="eq2"/>
    </sheetNames>
    <sheetDataSet>
      <sheetData sheetId="0">
        <row r="5">
          <cell r="AC5">
            <v>71.530797199115113</v>
          </cell>
          <cell r="AI5">
            <v>80.7</v>
          </cell>
          <cell r="AO5">
            <v>65</v>
          </cell>
        </row>
      </sheetData>
      <sheetData sheetId="1"/>
      <sheetData sheetId="2"/>
      <sheetData sheetId="3"/>
      <sheetData sheetId="4">
        <row r="5">
          <cell r="AC5">
            <v>80092</v>
          </cell>
          <cell r="AI5">
            <v>126337.0099</v>
          </cell>
          <cell r="AO5">
            <v>168392.9452893007</v>
          </cell>
        </row>
        <row r="6">
          <cell r="AI6">
            <v>4.0660313763596729</v>
          </cell>
          <cell r="AO6">
            <v>0.97038856638787074</v>
          </cell>
        </row>
        <row r="7">
          <cell r="AI7">
            <v>-1.4031026580185539</v>
          </cell>
          <cell r="AO7">
            <v>4.6446212801958922</v>
          </cell>
        </row>
        <row r="12">
          <cell r="AI12">
            <v>45356.609899999996</v>
          </cell>
          <cell r="AO12">
            <v>42976.342800427941</v>
          </cell>
        </row>
        <row r="14">
          <cell r="AI14">
            <v>0.94674975993005062</v>
          </cell>
          <cell r="AO14">
            <v>-0.39202719407839098</v>
          </cell>
        </row>
        <row r="15">
          <cell r="AI15">
            <v>-7.9461802260235288</v>
          </cell>
          <cell r="AO15">
            <v>1.5378256625230335</v>
          </cell>
        </row>
        <row r="20">
          <cell r="AI20">
            <v>6718.5099</v>
          </cell>
          <cell r="AO20">
            <v>12145.301126367685</v>
          </cell>
        </row>
        <row r="22">
          <cell r="AI22">
            <v>4.9806448986375651</v>
          </cell>
          <cell r="AO22">
            <v>1.4506262837684867</v>
          </cell>
        </row>
        <row r="23">
          <cell r="AI23">
            <v>-2.0519723642142793</v>
          </cell>
          <cell r="AO23">
            <v>2.4080006672225807</v>
          </cell>
        </row>
        <row r="25">
          <cell r="AI25">
            <v>41179.5</v>
          </cell>
          <cell r="AO25">
            <v>34261.719587527085</v>
          </cell>
        </row>
        <row r="26">
          <cell r="AI26">
            <v>4043.5</v>
          </cell>
          <cell r="AO26">
            <v>5051.9807740994038</v>
          </cell>
        </row>
        <row r="27">
          <cell r="AI27">
            <v>37136</v>
          </cell>
          <cell r="AO27">
            <v>29209.738813427681</v>
          </cell>
        </row>
        <row r="28">
          <cell r="AI28">
            <v>90.180793841595943</v>
          </cell>
          <cell r="AO28">
            <v>85.254736671364952</v>
          </cell>
        </row>
        <row r="29">
          <cell r="AI29">
            <v>0.81941832132557124</v>
          </cell>
          <cell r="AO29">
            <v>-1.6208315536881628</v>
          </cell>
        </row>
        <row r="30">
          <cell r="AI30">
            <v>-9.9346188438720446</v>
          </cell>
          <cell r="AO30">
            <v>0.78378694563032525</v>
          </cell>
        </row>
        <row r="33">
          <cell r="AI33">
            <v>38009.599999999999</v>
          </cell>
          <cell r="AO33">
            <v>27258.693618393336</v>
          </cell>
        </row>
        <row r="34">
          <cell r="AI34">
            <v>2793.9000000000015</v>
          </cell>
          <cell r="AO34">
            <v>2003.6533954692823</v>
          </cell>
        </row>
        <row r="35">
          <cell r="AI35">
            <v>35215.699999999997</v>
          </cell>
          <cell r="AO35">
            <v>25255.040222924054</v>
          </cell>
        </row>
        <row r="36">
          <cell r="AI36">
            <v>92.649488550260983</v>
          </cell>
          <cell r="AO36">
            <v>92.649488550260983</v>
          </cell>
        </row>
        <row r="37">
          <cell r="AI37">
            <v>1.095</v>
          </cell>
          <cell r="AO37">
            <v>-0.68427470199206297</v>
          </cell>
        </row>
        <row r="38">
          <cell r="AI38">
            <v>-10.878353995949382</v>
          </cell>
          <cell r="AO38">
            <v>0.2850538659336479</v>
          </cell>
        </row>
        <row r="40">
          <cell r="AI40">
            <v>382.4</v>
          </cell>
          <cell r="AO40">
            <v>2595.7404572063647</v>
          </cell>
        </row>
        <row r="41">
          <cell r="AI41">
            <v>199.59999999999997</v>
          </cell>
          <cell r="AO41">
            <v>1354.8896319518576</v>
          </cell>
        </row>
        <row r="42">
          <cell r="AI42">
            <v>182.8</v>
          </cell>
          <cell r="AO42">
            <v>1240.8508252545071</v>
          </cell>
        </row>
        <row r="43">
          <cell r="AI43">
            <v>47.803347280334734</v>
          </cell>
          <cell r="AO43">
            <v>47.803347280334734</v>
          </cell>
        </row>
        <row r="44">
          <cell r="AI44">
            <v>-11.2</v>
          </cell>
          <cell r="AO44">
            <v>-11.316799695754469</v>
          </cell>
        </row>
        <row r="45">
          <cell r="AI45">
            <v>29.632151042730413</v>
          </cell>
          <cell r="AO45">
            <v>0</v>
          </cell>
        </row>
        <row r="47">
          <cell r="AI47">
            <v>256.7</v>
          </cell>
          <cell r="AO47">
            <v>569.89594985438634</v>
          </cell>
        </row>
        <row r="48">
          <cell r="AI48">
            <v>144</v>
          </cell>
          <cell r="AO48">
            <v>319.69231312439285</v>
          </cell>
        </row>
        <row r="49">
          <cell r="AI49">
            <v>112.7</v>
          </cell>
          <cell r="AO49">
            <v>250.20363672999352</v>
          </cell>
        </row>
        <row r="50">
          <cell r="AI50">
            <v>43.903389170237631</v>
          </cell>
          <cell r="AO50">
            <v>43.903389170237631</v>
          </cell>
        </row>
        <row r="51">
          <cell r="AI51">
            <v>35.700000000000003</v>
          </cell>
          <cell r="AO51">
            <v>7.8938795814476208</v>
          </cell>
        </row>
        <row r="52">
          <cell r="AI52">
            <v>-18.776677303054171</v>
          </cell>
          <cell r="AO52">
            <v>7.2035648256658931</v>
          </cell>
        </row>
        <row r="54">
          <cell r="AI54">
            <v>2530.8000000000002</v>
          </cell>
          <cell r="AO54">
            <v>3837.3895620729977</v>
          </cell>
        </row>
        <row r="55">
          <cell r="AI55">
            <v>906.00000000000023</v>
          </cell>
          <cell r="AO55">
            <v>1373.7454335538714</v>
          </cell>
        </row>
        <row r="56">
          <cell r="AI56">
            <v>1624.8</v>
          </cell>
          <cell r="AO56">
            <v>2463.6441285191263</v>
          </cell>
        </row>
        <row r="57">
          <cell r="AI57">
            <v>64.201043148411557</v>
          </cell>
          <cell r="AO57">
            <v>64.201043148411557</v>
          </cell>
        </row>
        <row r="58">
          <cell r="AI58">
            <v>-7.2</v>
          </cell>
          <cell r="AO58">
            <v>-6.5407117730243352</v>
          </cell>
        </row>
        <row r="59">
          <cell r="AI59">
            <v>12.966131296568634</v>
          </cell>
          <cell r="AO59">
            <v>5.9595061511528549</v>
          </cell>
        </row>
        <row r="61">
          <cell r="AI61">
            <v>19114.600000000002</v>
          </cell>
          <cell r="AO61">
            <v>32994.445954502888</v>
          </cell>
        </row>
        <row r="62">
          <cell r="AI62">
            <v>12496.590100000001</v>
          </cell>
          <cell r="AO62">
            <v>21249.718206177175</v>
          </cell>
        </row>
        <row r="63">
          <cell r="AI63">
            <v>6618.0099</v>
          </cell>
          <cell r="AO63">
            <v>11744.727748325715</v>
          </cell>
        </row>
        <row r="64">
          <cell r="AI64">
            <v>34.622800895650442</v>
          </cell>
          <cell r="AO64">
            <v>35.596075062211682</v>
          </cell>
        </row>
        <row r="65">
          <cell r="AI65">
            <v>2.2481459151598528</v>
          </cell>
          <cell r="AO65">
            <v>2.6268305489157768</v>
          </cell>
        </row>
        <row r="66">
          <cell r="AI66">
            <v>2.3960552902408949</v>
          </cell>
          <cell r="AO66">
            <v>3.7428679210158862</v>
          </cell>
        </row>
        <row r="71">
          <cell r="AI71">
            <v>38638.1</v>
          </cell>
          <cell r="AO71">
            <v>30831.041674060252</v>
          </cell>
        </row>
        <row r="73">
          <cell r="AI73">
            <v>0.32330242525883529</v>
          </cell>
          <cell r="AO73">
            <v>-1.0913632743561281</v>
          </cell>
        </row>
        <row r="74">
          <cell r="AI74">
            <v>-8.8994328996358831</v>
          </cell>
          <cell r="AO74">
            <v>1.1990833995223227</v>
          </cell>
        </row>
        <row r="78">
          <cell r="AI78">
            <v>4637.3999999999996</v>
          </cell>
          <cell r="AO78">
            <v>10422.468083482587</v>
          </cell>
        </row>
        <row r="79">
          <cell r="AI79">
            <v>3431.7</v>
          </cell>
          <cell r="AO79">
            <v>7712.6803213195308</v>
          </cell>
        </row>
        <row r="80">
          <cell r="AI80">
            <v>1205.7</v>
          </cell>
          <cell r="AO80">
            <v>2709.787762163056</v>
          </cell>
        </row>
        <row r="81">
          <cell r="AI81">
            <v>25.999482468624663</v>
          </cell>
          <cell r="AO81">
            <v>25.999482468624663</v>
          </cell>
        </row>
        <row r="82">
          <cell r="AI82">
            <v>10.46</v>
          </cell>
          <cell r="AO82">
            <v>8.6138930707332548</v>
          </cell>
        </row>
        <row r="83">
          <cell r="AI83">
            <v>-7.6886485252481691</v>
          </cell>
          <cell r="AO83">
            <v>3.9366260789361718</v>
          </cell>
        </row>
        <row r="85">
          <cell r="AI85">
            <v>785</v>
          </cell>
          <cell r="AO85">
            <v>1203.1788349500816</v>
          </cell>
        </row>
        <row r="86">
          <cell r="AI86">
            <v>475.66</v>
          </cell>
          <cell r="AO86">
            <v>729.04973838516662</v>
          </cell>
        </row>
        <row r="87">
          <cell r="AI87">
            <v>309.33999999999997</v>
          </cell>
          <cell r="AO87">
            <v>474.12909656491496</v>
          </cell>
        </row>
        <row r="88">
          <cell r="AI88">
            <v>39.406369426751588</v>
          </cell>
          <cell r="AO88">
            <v>39.406369426751588</v>
          </cell>
        </row>
        <row r="89">
          <cell r="AI89">
            <v>15.7</v>
          </cell>
          <cell r="AO89">
            <v>-4.6190821138629872</v>
          </cell>
        </row>
        <row r="90">
          <cell r="AI90">
            <v>-3.7359141344519458</v>
          </cell>
          <cell r="AO90">
            <v>6.7873791898125972</v>
          </cell>
        </row>
        <row r="92">
          <cell r="AI92">
            <v>842.3</v>
          </cell>
          <cell r="AO92">
            <v>1343.4160794538946</v>
          </cell>
        </row>
        <row r="93">
          <cell r="AI93">
            <v>485.99999999999994</v>
          </cell>
          <cell r="AO93">
            <v>775.1397537867656</v>
          </cell>
        </row>
        <row r="94">
          <cell r="AI94">
            <v>356.3</v>
          </cell>
          <cell r="AO94">
            <v>568.27632566712896</v>
          </cell>
        </row>
        <row r="95">
          <cell r="AI95">
            <v>42.300842930072427</v>
          </cell>
          <cell r="AO95">
            <v>42.300842930072427</v>
          </cell>
        </row>
        <row r="96">
          <cell r="AI96">
            <v>4.0999999999999996</v>
          </cell>
          <cell r="AO96">
            <v>-3.1501631941561783</v>
          </cell>
        </row>
        <row r="97">
          <cell r="AI97">
            <v>-14.731676404438431</v>
          </cell>
          <cell r="AO97">
            <v>6.1096508988733689</v>
          </cell>
        </row>
        <row r="99">
          <cell r="AI99">
            <v>355.4</v>
          </cell>
          <cell r="AO99">
            <v>467.20983843828242</v>
          </cell>
        </row>
        <row r="100">
          <cell r="AI100">
            <v>187.7</v>
          </cell>
          <cell r="AO100">
            <v>246.75094731250874</v>
          </cell>
        </row>
        <row r="101">
          <cell r="AI101">
            <v>167.7</v>
          </cell>
          <cell r="AO101">
            <v>220.45889112577368</v>
          </cell>
        </row>
        <row r="102">
          <cell r="AI102">
            <v>47.186268992684298</v>
          </cell>
          <cell r="AO102">
            <v>47.186268992684298</v>
          </cell>
        </row>
        <row r="103">
          <cell r="AI103">
            <v>-8.7100000000000009</v>
          </cell>
          <cell r="AO103">
            <v>8.2273813087967369</v>
          </cell>
        </row>
        <row r="104">
          <cell r="AI104">
            <v>5.1518579054163638</v>
          </cell>
          <cell r="AO104">
            <v>0</v>
          </cell>
        </row>
        <row r="106">
          <cell r="AI106">
            <v>152.4</v>
          </cell>
          <cell r="AO106">
            <v>261.93179528016594</v>
          </cell>
        </row>
        <row r="107">
          <cell r="AI107">
            <v>113.84</v>
          </cell>
          <cell r="AO107">
            <v>195.65823867909506</v>
          </cell>
        </row>
        <row r="108">
          <cell r="AI108">
            <v>38.56</v>
          </cell>
          <cell r="AO108">
            <v>66.273556601070865</v>
          </cell>
        </row>
        <row r="109">
          <cell r="AI109">
            <v>25.30183727034121</v>
          </cell>
          <cell r="AO109">
            <v>25.30183727034121</v>
          </cell>
        </row>
        <row r="110">
          <cell r="AI110">
            <v>21.73</v>
          </cell>
          <cell r="AO110">
            <v>6.7659812232895717</v>
          </cell>
        </row>
        <row r="111">
          <cell r="AI111">
            <v>0.24259956928958104</v>
          </cell>
          <cell r="AO111">
            <v>3.1041416157505921</v>
          </cell>
        </row>
        <row r="113">
          <cell r="AI113">
            <v>43.6</v>
          </cell>
          <cell r="AO113">
            <v>73.434651559646156</v>
          </cell>
        </row>
        <row r="114">
          <cell r="AI114">
            <v>32.650000000000006</v>
          </cell>
          <cell r="AO114">
            <v>54.991774619780898</v>
          </cell>
        </row>
        <row r="115">
          <cell r="AI115">
            <v>10.95</v>
          </cell>
          <cell r="AO115">
            <v>18.442876939865258</v>
          </cell>
        </row>
        <row r="116">
          <cell r="AI116">
            <v>25.114678899082566</v>
          </cell>
          <cell r="AO116">
            <v>25.114678899082566</v>
          </cell>
        </row>
        <row r="117">
          <cell r="AI117">
            <v>9.0399999999999991</v>
          </cell>
          <cell r="AO117">
            <v>2.5380695337277643</v>
          </cell>
        </row>
        <row r="118">
          <cell r="AI118">
            <v>62.626499653954539</v>
          </cell>
          <cell r="AO118">
            <v>7.2035648256658646</v>
          </cell>
        </row>
        <row r="120">
          <cell r="AI120">
            <v>26.1</v>
          </cell>
          <cell r="AO120">
            <v>43.394452347027865</v>
          </cell>
        </row>
        <row r="121">
          <cell r="AI121">
            <v>15.980000000000002</v>
          </cell>
          <cell r="AO121">
            <v>26.56871067070902</v>
          </cell>
        </row>
        <row r="122">
          <cell r="AI122">
            <v>10.119999999999999</v>
          </cell>
          <cell r="AO122">
            <v>16.825741676318845</v>
          </cell>
        </row>
        <row r="123">
          <cell r="AI123">
            <v>38.773946360153246</v>
          </cell>
          <cell r="AO123">
            <v>38.773946360153246</v>
          </cell>
        </row>
        <row r="124">
          <cell r="AI124">
            <v>-29.1</v>
          </cell>
          <cell r="AO124">
            <v>3.101305413427653</v>
          </cell>
        </row>
        <row r="125">
          <cell r="AI125">
            <v>-0.25419410415553045</v>
          </cell>
          <cell r="AO125">
            <v>7.2035648256658646</v>
          </cell>
        </row>
        <row r="127">
          <cell r="AI127">
            <v>227</v>
          </cell>
          <cell r="AO127">
            <v>347.61338696068384</v>
          </cell>
        </row>
        <row r="128">
          <cell r="AI128">
            <v>162.26</v>
          </cell>
          <cell r="AO128">
            <v>248.47466153409937</v>
          </cell>
        </row>
        <row r="129">
          <cell r="AI129">
            <v>64.739999999999995</v>
          </cell>
          <cell r="AO129">
            <v>99.138725426584458</v>
          </cell>
        </row>
        <row r="130">
          <cell r="AI130">
            <v>28.519823788546255</v>
          </cell>
          <cell r="AO130">
            <v>28.519823788546255</v>
          </cell>
        </row>
        <row r="131">
          <cell r="AI131">
            <v>33.58</v>
          </cell>
          <cell r="AO131">
            <v>6.3205406317301822</v>
          </cell>
        </row>
        <row r="132">
          <cell r="AI132">
            <v>0.75954079547430808</v>
          </cell>
          <cell r="AO132">
            <v>1.0547170513436228</v>
          </cell>
        </row>
        <row r="134">
          <cell r="AI134">
            <v>141.5</v>
          </cell>
          <cell r="AO134">
            <v>237.49273469661131</v>
          </cell>
        </row>
        <row r="135">
          <cell r="AI135">
            <v>77.260000000000005</v>
          </cell>
          <cell r="AO135">
            <v>129.67271153823455</v>
          </cell>
        </row>
        <row r="136">
          <cell r="AI136">
            <v>64.239999999999995</v>
          </cell>
          <cell r="AO136">
            <v>107.82002315837676</v>
          </cell>
        </row>
        <row r="137">
          <cell r="AI137">
            <v>45.399293286219077</v>
          </cell>
          <cell r="AO137">
            <v>45.399293286219077</v>
          </cell>
        </row>
        <row r="138">
          <cell r="AI138">
            <v>12.45</v>
          </cell>
          <cell r="AO138">
            <v>4.5956443921498931</v>
          </cell>
        </row>
        <row r="139">
          <cell r="AI139">
            <v>2.8585024705094213</v>
          </cell>
          <cell r="AO139">
            <v>7.2035648256658931</v>
          </cell>
        </row>
        <row r="141">
          <cell r="AI141">
            <v>4741.2</v>
          </cell>
          <cell r="AO141">
            <v>6235.383131685724</v>
          </cell>
        </row>
        <row r="142">
          <cell r="AI142">
            <v>2943.6</v>
          </cell>
          <cell r="AO142">
            <v>3123.0258090686521</v>
          </cell>
        </row>
        <row r="143">
          <cell r="AI143">
            <v>1797.6</v>
          </cell>
          <cell r="AO143">
            <v>3112.357322617072</v>
          </cell>
        </row>
        <row r="144">
          <cell r="AI144">
            <v>37.914452037458872</v>
          </cell>
          <cell r="AO144">
            <v>49.914452037458872</v>
          </cell>
        </row>
        <row r="145">
          <cell r="AI145">
            <v>-10.96</v>
          </cell>
          <cell r="AO145">
            <v>2.3416390726593295E-3</v>
          </cell>
        </row>
        <row r="146">
          <cell r="AI146">
            <v>23.116716948914615</v>
          </cell>
          <cell r="AO146">
            <v>5.2397552823331637</v>
          </cell>
        </row>
        <row r="148">
          <cell r="AI148">
            <v>1556.5</v>
          </cell>
          <cell r="AO148">
            <v>1653.9390237325922</v>
          </cell>
        </row>
        <row r="149">
          <cell r="AI149">
            <v>955.7</v>
          </cell>
          <cell r="AO149">
            <v>1015.5281239840915</v>
          </cell>
        </row>
        <row r="150">
          <cell r="AI150">
            <v>600.79999999999995</v>
          </cell>
          <cell r="AO150">
            <v>638.4108997485007</v>
          </cell>
        </row>
        <row r="151">
          <cell r="AI151">
            <v>38.599421779633794</v>
          </cell>
          <cell r="AO151">
            <v>38.599421779633794</v>
          </cell>
        </row>
        <row r="152">
          <cell r="AI152">
            <v>6.5</v>
          </cell>
          <cell r="AO152">
            <v>-8.6509308590035658</v>
          </cell>
        </row>
        <row r="153">
          <cell r="AI153">
            <v>-9.9119362186105064</v>
          </cell>
          <cell r="AO153">
            <v>0.2878464818763149</v>
          </cell>
        </row>
        <row r="155">
          <cell r="AI155">
            <v>19.8</v>
          </cell>
          <cell r="AO155">
            <v>65.781084291411716</v>
          </cell>
        </row>
        <row r="156">
          <cell r="AI156">
            <v>12.040000000000001</v>
          </cell>
          <cell r="AO156">
            <v>40.000214892353384</v>
          </cell>
        </row>
        <row r="157">
          <cell r="AI157">
            <v>7.76</v>
          </cell>
          <cell r="AO157">
            <v>25.780869399058329</v>
          </cell>
        </row>
        <row r="158">
          <cell r="AI158">
            <v>39.19191919191919</v>
          </cell>
          <cell r="AO158">
            <v>39.19191919191919</v>
          </cell>
        </row>
        <row r="159">
          <cell r="AI159">
            <v>-9.65</v>
          </cell>
          <cell r="AO159">
            <v>14.643171876108113</v>
          </cell>
        </row>
        <row r="160">
          <cell r="AI160">
            <v>3.8551541800695901</v>
          </cell>
          <cell r="AO160">
            <v>7.2035648256658931</v>
          </cell>
        </row>
        <row r="162">
          <cell r="AI162">
            <v>532.79999999999995</v>
          </cell>
          <cell r="AO162">
            <v>941.24422825129693</v>
          </cell>
        </row>
        <row r="163">
          <cell r="AI163">
            <v>389.49999999999994</v>
          </cell>
          <cell r="AO163">
            <v>688.09051596073596</v>
          </cell>
        </row>
        <row r="164">
          <cell r="AI164">
            <v>143.30000000000001</v>
          </cell>
          <cell r="AO164">
            <v>253.15371229056095</v>
          </cell>
        </row>
        <row r="165">
          <cell r="AI165">
            <v>26.895645645645651</v>
          </cell>
          <cell r="AO165">
            <v>26.895645645645651</v>
          </cell>
        </row>
        <row r="166">
          <cell r="AI166">
            <v>-15</v>
          </cell>
          <cell r="AO166">
            <v>6.686735362817231</v>
          </cell>
        </row>
        <row r="167">
          <cell r="AI167">
            <v>-0.8887505619531737</v>
          </cell>
          <cell r="AO167">
            <v>-3.2653061224489903</v>
          </cell>
        </row>
        <row r="169">
          <cell r="AI169">
            <v>1423.3</v>
          </cell>
          <cell r="AO169">
            <v>3642.8609992199299</v>
          </cell>
        </row>
        <row r="170">
          <cell r="AI170">
            <v>908.09999999999991</v>
          </cell>
          <cell r="AO170">
            <v>2324.23387437056</v>
          </cell>
        </row>
        <row r="171">
          <cell r="AI171">
            <v>515.20000000000005</v>
          </cell>
          <cell r="AO171">
            <v>1318.6271248493699</v>
          </cell>
        </row>
        <row r="172">
          <cell r="AI172">
            <v>36.197569029719666</v>
          </cell>
          <cell r="AO172">
            <v>36.197569029719666</v>
          </cell>
        </row>
        <row r="173">
          <cell r="AI173">
            <v>12</v>
          </cell>
          <cell r="AO173">
            <v>13.350579438053359</v>
          </cell>
        </row>
        <row r="174">
          <cell r="AI174">
            <v>6.8276823037621881</v>
          </cell>
          <cell r="AO174">
            <v>6.1576763883423524</v>
          </cell>
        </row>
        <row r="176">
          <cell r="AI176">
            <v>931</v>
          </cell>
          <cell r="AO176">
            <v>1215.4330772486612</v>
          </cell>
        </row>
        <row r="177">
          <cell r="AI177">
            <v>565.1</v>
          </cell>
          <cell r="AO177">
            <v>737.74568416027751</v>
          </cell>
        </row>
        <row r="178">
          <cell r="AI178">
            <v>365.9</v>
          </cell>
          <cell r="AO178">
            <v>477.68739308838366</v>
          </cell>
        </row>
        <row r="179">
          <cell r="AI179">
            <v>39.301825993555319</v>
          </cell>
          <cell r="AO179">
            <v>39.301825993555319</v>
          </cell>
        </row>
        <row r="180">
          <cell r="AI180">
            <v>-12</v>
          </cell>
          <cell r="AO180">
            <v>5.2016838250142428</v>
          </cell>
        </row>
        <row r="181">
          <cell r="AI181">
            <v>4.6289518232145213</v>
          </cell>
          <cell r="AO181">
            <v>-3.2999014567720195</v>
          </cell>
        </row>
        <row r="183">
          <cell r="AI183">
            <v>418.3</v>
          </cell>
          <cell r="AO183">
            <v>777.02340517006655</v>
          </cell>
        </row>
        <row r="184">
          <cell r="AI184">
            <v>276.5</v>
          </cell>
          <cell r="AO184">
            <v>513.61934384299161</v>
          </cell>
        </row>
        <row r="185">
          <cell r="AI185">
            <v>141.80000000000001</v>
          </cell>
          <cell r="AO185">
            <v>263.40406132707494</v>
          </cell>
        </row>
        <row r="186">
          <cell r="AI186">
            <v>33.89911546736792</v>
          </cell>
          <cell r="AO186">
            <v>33.89911546736792</v>
          </cell>
        </row>
        <row r="187">
          <cell r="AI187">
            <v>12.2</v>
          </cell>
          <cell r="AO187">
            <v>8.6067689195644874</v>
          </cell>
        </row>
        <row r="188">
          <cell r="AI188">
            <v>5.5818393279693908</v>
          </cell>
          <cell r="AO188">
            <v>-7.5389707432450734</v>
          </cell>
        </row>
        <row r="190">
          <cell r="AI190">
            <v>77</v>
          </cell>
          <cell r="AO190">
            <v>99.025916732926831</v>
          </cell>
        </row>
        <row r="191">
          <cell r="AI191">
            <v>46.19</v>
          </cell>
          <cell r="AO191">
            <v>59.402689531089486</v>
          </cell>
        </row>
        <row r="192">
          <cell r="AI192">
            <v>30.81</v>
          </cell>
          <cell r="AO192">
            <v>39.623227201837345</v>
          </cell>
        </row>
        <row r="193">
          <cell r="AI193">
            <v>40.012987012987011</v>
          </cell>
          <cell r="AO193">
            <v>40.012987012987011</v>
          </cell>
        </row>
        <row r="194">
          <cell r="AI194">
            <v>4.7</v>
          </cell>
          <cell r="AO194">
            <v>4.6662454925109103</v>
          </cell>
        </row>
        <row r="195">
          <cell r="AI195">
            <v>11.381279702578368</v>
          </cell>
          <cell r="AO195">
            <v>-0.50754653790738757</v>
          </cell>
        </row>
        <row r="197">
          <cell r="AI197">
            <v>251.9</v>
          </cell>
          <cell r="AO197">
            <v>506.78046985380115</v>
          </cell>
        </row>
        <row r="198">
          <cell r="AI198">
            <v>173.56</v>
          </cell>
          <cell r="AO198">
            <v>349.17355437802985</v>
          </cell>
        </row>
        <row r="199">
          <cell r="AI199">
            <v>78.34</v>
          </cell>
          <cell r="AO199">
            <v>157.60691547577127</v>
          </cell>
        </row>
        <row r="200">
          <cell r="AI200">
            <v>31.099642715363242</v>
          </cell>
          <cell r="AO200">
            <v>31.099642715363242</v>
          </cell>
        </row>
        <row r="201">
          <cell r="AI201">
            <v>13.96</v>
          </cell>
          <cell r="AO201">
            <v>4.0816726841718776</v>
          </cell>
        </row>
        <row r="202">
          <cell r="AI202">
            <v>1.8571917964420805</v>
          </cell>
          <cell r="AO202">
            <v>11.926321613506559</v>
          </cell>
        </row>
        <row r="204">
          <cell r="AI204">
            <v>534.70000000000005</v>
          </cell>
          <cell r="AO204">
            <v>807.13706364614006</v>
          </cell>
        </row>
        <row r="205">
          <cell r="AI205">
            <v>332.00000000000006</v>
          </cell>
          <cell r="AO205">
            <v>501.1586031990247</v>
          </cell>
        </row>
        <row r="206">
          <cell r="AI206">
            <v>202.7</v>
          </cell>
          <cell r="AO206">
            <v>305.97846044711537</v>
          </cell>
        </row>
        <row r="207">
          <cell r="AI207">
            <v>37.909107910978115</v>
          </cell>
          <cell r="AO207">
            <v>37.909107910978115</v>
          </cell>
        </row>
        <row r="208">
          <cell r="AI208">
            <v>-5.66</v>
          </cell>
          <cell r="AO208">
            <v>4.8418547557840697</v>
          </cell>
        </row>
        <row r="209">
          <cell r="AI209">
            <v>0.63753655992400127</v>
          </cell>
          <cell r="AO209">
            <v>1.8500000000000369</v>
          </cell>
        </row>
        <row r="210">
          <cell r="AI210"/>
          <cell r="AO210"/>
        </row>
        <row r="211">
          <cell r="AI211">
            <v>274.2</v>
          </cell>
          <cell r="AO211">
            <v>992.44716703625977</v>
          </cell>
        </row>
        <row r="212">
          <cell r="AI212">
            <v>208.95</v>
          </cell>
          <cell r="AO212">
            <v>756.2794877907603</v>
          </cell>
        </row>
        <row r="213">
          <cell r="AI213">
            <v>65.25</v>
          </cell>
          <cell r="AO213">
            <v>236.1676792454995</v>
          </cell>
        </row>
        <row r="214">
          <cell r="AI214">
            <v>23.796498905908098</v>
          </cell>
          <cell r="AO214">
            <v>23.796498905908098</v>
          </cell>
        </row>
        <row r="215">
          <cell r="AI215">
            <v>44.74</v>
          </cell>
          <cell r="AO215">
            <v>-27.785011186337925</v>
          </cell>
        </row>
        <row r="216">
          <cell r="AI216">
            <v>-2.1045937025572954</v>
          </cell>
          <cell r="AO216">
            <v>7.2035648256658931</v>
          </cell>
        </row>
        <row r="218">
          <cell r="AI218">
            <v>17.7</v>
          </cell>
          <cell r="AO218">
            <v>42.644164636300133</v>
          </cell>
        </row>
        <row r="219">
          <cell r="AI219">
            <v>7.7500999999999998</v>
          </cell>
          <cell r="AO219">
            <v>18.672120923603938</v>
          </cell>
        </row>
        <row r="220">
          <cell r="AI220">
            <v>9.9498999999999995</v>
          </cell>
          <cell r="AO220">
            <v>23.972043712696195</v>
          </cell>
        </row>
        <row r="221">
          <cell r="AI221">
            <v>56.214124293785304</v>
          </cell>
          <cell r="AO221">
            <v>56.214124293785304</v>
          </cell>
        </row>
        <row r="222">
          <cell r="AI222">
            <v>103.55</v>
          </cell>
          <cell r="AO222">
            <v>14.516670766653846</v>
          </cell>
        </row>
        <row r="223">
          <cell r="AI223">
            <v>-0.20039360557935026</v>
          </cell>
          <cell r="AO223">
            <v>0.73368945215590031</v>
          </cell>
        </row>
        <row r="225">
          <cell r="AI225">
            <v>391.2</v>
          </cell>
          <cell r="AO225">
            <v>608.70890259524697</v>
          </cell>
        </row>
        <row r="226">
          <cell r="AI226">
            <v>273.39999999999998</v>
          </cell>
          <cell r="AO226">
            <v>425.41158990168844</v>
          </cell>
        </row>
        <row r="227">
          <cell r="AI227">
            <v>117.8</v>
          </cell>
          <cell r="AO227">
            <v>183.29731269355852</v>
          </cell>
        </row>
        <row r="228">
          <cell r="AI228">
            <v>30.11247443762781</v>
          </cell>
          <cell r="AO228">
            <v>30.11247443762781</v>
          </cell>
        </row>
        <row r="229">
          <cell r="AI229">
            <v>45.9</v>
          </cell>
          <cell r="AO229">
            <v>1.2470644058561788</v>
          </cell>
        </row>
        <row r="230">
          <cell r="AI230">
            <v>-12.085983192153478</v>
          </cell>
          <cell r="AO230">
            <v>7.2035648256658931</v>
          </cell>
        </row>
        <row r="232">
          <cell r="AI232">
            <v>91.9</v>
          </cell>
          <cell r="AO232">
            <v>145.10665532607018</v>
          </cell>
        </row>
        <row r="233">
          <cell r="AI233">
            <v>58.850000000000009</v>
          </cell>
          <cell r="AO233">
            <v>92.921944134268017</v>
          </cell>
        </row>
        <row r="234">
          <cell r="AI234">
            <v>33.049999999999997</v>
          </cell>
          <cell r="AO234">
            <v>52.184711191802172</v>
          </cell>
        </row>
        <row r="235">
          <cell r="AI235">
            <v>35.963003264417843</v>
          </cell>
          <cell r="AO235">
            <v>35.963003264417843</v>
          </cell>
        </row>
        <row r="236">
          <cell r="AI236">
            <v>1.94</v>
          </cell>
          <cell r="AO236">
            <v>-0.69309480633098985</v>
          </cell>
        </row>
        <row r="237">
          <cell r="AI237">
            <v>-0.15081004128168729</v>
          </cell>
          <cell r="AO237">
            <v>0.73368945215590031</v>
          </cell>
        </row>
        <row r="239">
          <cell r="AI239">
            <v>642.4</v>
          </cell>
          <cell r="AO239">
            <v>860.79080790747378</v>
          </cell>
        </row>
        <row r="240">
          <cell r="AI240">
            <v>362.29999999999995</v>
          </cell>
          <cell r="AO240">
            <v>485.46779219314715</v>
          </cell>
        </row>
        <row r="241">
          <cell r="AI241">
            <v>280.10000000000002</v>
          </cell>
          <cell r="AO241">
            <v>375.32301571432663</v>
          </cell>
        </row>
        <row r="242">
          <cell r="AI242">
            <v>43.602117061021175</v>
          </cell>
          <cell r="AO242">
            <v>43.602117061021175</v>
          </cell>
        </row>
        <row r="243">
          <cell r="AI243">
            <v>10.6</v>
          </cell>
          <cell r="AO243">
            <v>-1.0152668845502859</v>
          </cell>
        </row>
        <row r="244">
          <cell r="AI244">
            <v>-0.41094263656074759</v>
          </cell>
          <cell r="AO244">
            <v>1.6291000250639627</v>
          </cell>
        </row>
        <row r="246">
          <cell r="AI246">
            <v>3184.1</v>
          </cell>
          <cell r="AO246">
            <v>4172.0089306103782</v>
          </cell>
        </row>
        <row r="247">
          <cell r="AI247">
            <v>1862.6999999999998</v>
          </cell>
          <cell r="AO247">
            <v>2440.6271898018126</v>
          </cell>
        </row>
        <row r="248">
          <cell r="AI248">
            <v>1321.4</v>
          </cell>
          <cell r="AO248">
            <v>1731.3817408085656</v>
          </cell>
        </row>
        <row r="249">
          <cell r="AI249">
            <v>41.499952890926792</v>
          </cell>
          <cell r="AO249">
            <v>41.499952890926792</v>
          </cell>
        </row>
        <row r="250">
          <cell r="AI250">
            <v>-1.7</v>
          </cell>
          <cell r="AO250">
            <v>3.3145940080428886</v>
          </cell>
        </row>
        <row r="251">
          <cell r="AI251">
            <v>1.8187821086692963</v>
          </cell>
          <cell r="AO251">
            <v>0</v>
          </cell>
        </row>
        <row r="253">
          <cell r="AI253">
            <v>668</v>
          </cell>
          <cell r="AO253">
            <v>690.07939037863434</v>
          </cell>
        </row>
        <row r="254">
          <cell r="AI254">
            <v>386.8</v>
          </cell>
          <cell r="AO254">
            <v>399.58489251265831</v>
          </cell>
        </row>
        <row r="255">
          <cell r="AI255">
            <v>281.2</v>
          </cell>
          <cell r="AO255">
            <v>290.49449786597603</v>
          </cell>
        </row>
        <row r="256">
          <cell r="AI256">
            <v>42.095808383233532</v>
          </cell>
          <cell r="AO256">
            <v>42.095808383233532</v>
          </cell>
        </row>
        <row r="257">
          <cell r="AI257">
            <v>2.7</v>
          </cell>
          <cell r="AO257">
            <v>-10.588287466798548</v>
          </cell>
        </row>
        <row r="258">
          <cell r="AI258">
            <v>0.92414502498159834</v>
          </cell>
          <cell r="AO258">
            <v>0</v>
          </cell>
        </row>
        <row r="260">
          <cell r="AI260">
            <v>13949.2</v>
          </cell>
          <cell r="AO260">
            <v>17857.0379599552</v>
          </cell>
        </row>
        <row r="261">
          <cell r="AI261">
            <v>6802.1</v>
          </cell>
          <cell r="AO261">
            <v>8707.6934811610172</v>
          </cell>
        </row>
        <row r="262">
          <cell r="AI262">
            <v>7147.1</v>
          </cell>
          <cell r="AO262">
            <v>9149.3444787941826</v>
          </cell>
        </row>
        <row r="263">
          <cell r="AI263">
            <v>51.236630057637711</v>
          </cell>
          <cell r="AO263">
            <v>51.236630057637711</v>
          </cell>
        </row>
        <row r="264">
          <cell r="AI264">
            <v>1.4</v>
          </cell>
          <cell r="AO264">
            <v>1.0872394224465143</v>
          </cell>
        </row>
        <row r="265">
          <cell r="AI265">
            <v>3.8808873963505732</v>
          </cell>
          <cell r="AO265">
            <v>1.7186531556838247</v>
          </cell>
        </row>
        <row r="269">
          <cell r="AI269">
            <v>20042.7</v>
          </cell>
          <cell r="AO269">
            <v>26710.266783012481</v>
          </cell>
        </row>
        <row r="270">
          <cell r="AI270">
            <v>11564.6</v>
          </cell>
          <cell r="AO270">
            <v>15411.773425677486</v>
          </cell>
        </row>
        <row r="271">
          <cell r="AI271">
            <v>8478.1</v>
          </cell>
          <cell r="AO271">
            <v>11298.493357334995</v>
          </cell>
        </row>
        <row r="272">
          <cell r="AI272">
            <v>42.300189096279446</v>
          </cell>
          <cell r="AO272">
            <v>42.300189096279446</v>
          </cell>
        </row>
        <row r="273">
          <cell r="AI273">
            <v>9.6</v>
          </cell>
          <cell r="AO273">
            <v>-6.8641011830996206</v>
          </cell>
        </row>
        <row r="276">
          <cell r="AI276">
            <v>1.3374472807651756</v>
          </cell>
          <cell r="AO276">
            <v>3.872513623764732</v>
          </cell>
        </row>
        <row r="282">
          <cell r="AI282">
            <v>52992.100000000006</v>
          </cell>
          <cell r="AO282">
            <v>87962.943488089717</v>
          </cell>
        </row>
        <row r="284">
          <cell r="AI284">
            <v>6.417341278165277</v>
          </cell>
          <cell r="AO284">
            <v>2.7671018204624982</v>
          </cell>
        </row>
        <row r="285">
          <cell r="AI285">
            <v>2.6086467991021607</v>
          </cell>
          <cell r="AO285">
            <v>6.8473652337982571</v>
          </cell>
        </row>
        <row r="287">
          <cell r="AI287">
            <v>20861.8</v>
          </cell>
          <cell r="AO287">
            <v>36726.666385627796</v>
          </cell>
        </row>
        <row r="288">
          <cell r="AI288">
            <v>7349.1999999999989</v>
          </cell>
          <cell r="AO288">
            <v>12938.079005706881</v>
          </cell>
        </row>
        <row r="289">
          <cell r="AI289">
            <v>13512.6</v>
          </cell>
          <cell r="AO289">
            <v>23788.587379920915</v>
          </cell>
        </row>
        <row r="290">
          <cell r="AI290">
            <v>64.771975572577631</v>
          </cell>
          <cell r="AO290">
            <v>64.771975572577631</v>
          </cell>
        </row>
        <row r="291">
          <cell r="AI291">
            <v>3.8</v>
          </cell>
          <cell r="AO291">
            <v>3.9111247238281948</v>
          </cell>
        </row>
        <row r="294">
          <cell r="AI294">
            <v>1.3343640302378788</v>
          </cell>
          <cell r="AO294">
            <v>7.2035648256658931</v>
          </cell>
        </row>
        <row r="298">
          <cell r="AI298">
            <v>4599.8</v>
          </cell>
          <cell r="AO298">
            <v>5399.6549495458466</v>
          </cell>
        </row>
        <row r="299">
          <cell r="AI299">
            <v>1511.5</v>
          </cell>
          <cell r="AO299">
            <v>1774.3333310662524</v>
          </cell>
        </row>
        <row r="300">
          <cell r="AI300">
            <v>3088.3</v>
          </cell>
          <cell r="AO300">
            <v>3625.3216184795942</v>
          </cell>
        </row>
        <row r="301">
          <cell r="AI301">
            <v>67.139875646767251</v>
          </cell>
          <cell r="AO301">
            <v>67.139875646767251</v>
          </cell>
        </row>
        <row r="302">
          <cell r="AI302">
            <v>12.9</v>
          </cell>
          <cell r="AO302">
            <v>6.579734823326632</v>
          </cell>
        </row>
        <row r="305">
          <cell r="AI305">
            <v>2.2399395889512732</v>
          </cell>
          <cell r="AO305">
            <v>7.0659167096999624</v>
          </cell>
        </row>
        <row r="309">
          <cell r="AI309">
            <v>14148.2</v>
          </cell>
          <cell r="AO309">
            <v>24327.57953295271</v>
          </cell>
        </row>
        <row r="310">
          <cell r="AI310">
            <v>5325.3000000000011</v>
          </cell>
          <cell r="AO310">
            <v>9156.7591133029709</v>
          </cell>
        </row>
        <row r="311">
          <cell r="AI311">
            <v>8822.9</v>
          </cell>
          <cell r="AO311">
            <v>15170.820419649739</v>
          </cell>
        </row>
        <row r="312">
          <cell r="AI312">
            <v>62.360582971685439</v>
          </cell>
          <cell r="AO312">
            <v>62.360582971685439</v>
          </cell>
        </row>
        <row r="313">
          <cell r="AI313">
            <v>14.1</v>
          </cell>
          <cell r="AO313">
            <v>0.55273521848247209</v>
          </cell>
        </row>
        <row r="314">
          <cell r="AI314">
            <v>-1.2060434413920547</v>
          </cell>
          <cell r="AO314">
            <v>9.4134076613706839</v>
          </cell>
        </row>
        <row r="318">
          <cell r="AI318">
            <v>3761.1</v>
          </cell>
          <cell r="AO318">
            <v>6720.3463401406179</v>
          </cell>
        </row>
        <row r="319">
          <cell r="AI319">
            <v>1361.6</v>
          </cell>
          <cell r="AO319">
            <v>2432.9115356505981</v>
          </cell>
        </row>
        <row r="320">
          <cell r="AI320">
            <v>2399.5</v>
          </cell>
          <cell r="AO320">
            <v>4287.4348044900198</v>
          </cell>
        </row>
        <row r="321">
          <cell r="AI321">
            <v>63.797825104357763</v>
          </cell>
          <cell r="AO321">
            <v>63.797825104357763</v>
          </cell>
        </row>
        <row r="322">
          <cell r="AI322">
            <v>11.4</v>
          </cell>
          <cell r="AO322">
            <v>10.120068610634661</v>
          </cell>
        </row>
        <row r="323">
          <cell r="AI323">
            <v>0.30500748347672868</v>
          </cell>
          <cell r="AO323">
            <v>-2.6811250898362005E-3</v>
          </cell>
        </row>
        <row r="325">
          <cell r="AI325">
            <v>38219.199999999997</v>
          </cell>
          <cell r="AO325">
            <v>62396.964134400012</v>
          </cell>
        </row>
        <row r="326">
          <cell r="AI326">
            <v>13050.399999999998</v>
          </cell>
          <cell r="AO326">
            <v>21306.184868850571</v>
          </cell>
        </row>
        <row r="327">
          <cell r="AI327">
            <v>25168.799999999999</v>
          </cell>
          <cell r="AO327">
            <v>41090.779265549441</v>
          </cell>
        </row>
        <row r="328">
          <cell r="AI328">
            <v>65.853811696738816</v>
          </cell>
          <cell r="AO328">
            <v>65.853811696738816</v>
          </cell>
        </row>
        <row r="329">
          <cell r="AI329">
            <v>4.0490000000000004</v>
          </cell>
          <cell r="AO329">
            <v>1.8530449951571768</v>
          </cell>
        </row>
        <row r="330">
          <cell r="AI330">
            <v>5.0154871037591704</v>
          </cell>
          <cell r="AO330">
            <v>6.4625133040066061</v>
          </cell>
        </row>
        <row r="332">
          <cell r="AI332">
            <v>12363.1</v>
          </cell>
          <cell r="AO332">
            <v>17005.82116465388</v>
          </cell>
        </row>
        <row r="333">
          <cell r="AI333">
            <v>5.2962618186935444</v>
          </cell>
          <cell r="AO333">
            <v>1.24316387346681</v>
          </cell>
        </row>
        <row r="334">
          <cell r="AI334">
            <v>3.2679184627368159</v>
          </cell>
          <cell r="AO334">
            <v>3.721853617607735</v>
          </cell>
        </row>
        <row r="363">
          <cell r="AI363">
            <v>85712.409899999999</v>
          </cell>
          <cell r="AO363">
            <v>135976.78777658584</v>
          </cell>
        </row>
        <row r="364">
          <cell r="AI364">
            <v>6.1970717720610171</v>
          </cell>
          <cell r="AO364">
            <v>1.4961980811331075</v>
          </cell>
        </row>
        <row r="365">
          <cell r="AI365">
            <v>2.1779580495641113</v>
          </cell>
          <cell r="AO365">
            <v>5.5009362180855561</v>
          </cell>
        </row>
        <row r="366">
          <cell r="AI366">
            <v>40624.6</v>
          </cell>
          <cell r="AO366">
            <v>32416.157512714864</v>
          </cell>
        </row>
        <row r="367">
          <cell r="AI367">
            <v>0.25228337875894058</v>
          </cell>
          <cell r="AO367">
            <v>-1.0913632743561283</v>
          </cell>
        </row>
        <row r="368">
          <cell r="AI368">
            <v>-8.1918596431628714</v>
          </cell>
          <cell r="AO368">
            <v>1.1990833995223227</v>
          </cell>
        </row>
      </sheetData>
      <sheetData sheetId="5"/>
      <sheetData sheetId="6"/>
      <sheetData sheetId="7">
        <row r="5">
          <cell r="AC5">
            <v>17244.8629</v>
          </cell>
          <cell r="AI5">
            <v>22106.3</v>
          </cell>
          <cell r="AO5">
            <v>26850.744609515568</v>
          </cell>
        </row>
        <row r="6">
          <cell r="AI6">
            <v>2.4035325916089079</v>
          </cell>
          <cell r="AO6">
            <v>-6.2716872968243678</v>
          </cell>
        </row>
        <row r="8">
          <cell r="AI8">
            <v>18774.7</v>
          </cell>
          <cell r="AO8">
            <v>21565.088158997463</v>
          </cell>
        </row>
        <row r="9">
          <cell r="AI9">
            <v>6.46</v>
          </cell>
          <cell r="AO9">
            <v>-2.5955300496874543</v>
          </cell>
        </row>
        <row r="10">
          <cell r="AI10">
            <v>3331.6</v>
          </cell>
          <cell r="AO10">
            <v>5285.6564505181059</v>
          </cell>
        </row>
        <row r="11">
          <cell r="AI11">
            <v>-15.7</v>
          </cell>
          <cell r="AO11">
            <v>-18.778296819577136</v>
          </cell>
        </row>
        <row r="12">
          <cell r="AI12">
            <v>5852</v>
          </cell>
          <cell r="AO12">
            <v>4663.9214676405718</v>
          </cell>
        </row>
        <row r="14">
          <cell r="AI14">
            <v>16254.3</v>
          </cell>
          <cell r="AO14">
            <v>22186.823141874997</v>
          </cell>
        </row>
        <row r="16">
          <cell r="AI16">
            <v>13352.900000000001</v>
          </cell>
        </row>
        <row r="18">
          <cell r="AI18">
            <v>8753.3999999999978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4_"/>
      <sheetName val="add4agr_"/>
    </sheetNames>
    <sheetDataSet>
      <sheetData sheetId="0"/>
      <sheetData sheetId="1">
        <row r="8">
          <cell r="AC8">
            <v>3309.2</v>
          </cell>
          <cell r="AI8">
            <v>3278.1</v>
          </cell>
          <cell r="AO8">
            <v>3448.1099999999997</v>
          </cell>
        </row>
        <row r="9">
          <cell r="AI9">
            <v>1685.7</v>
          </cell>
          <cell r="AO9">
            <v>1684.8</v>
          </cell>
        </row>
        <row r="10">
          <cell r="AI10">
            <v>19.600000000000001</v>
          </cell>
          <cell r="AO10">
            <v>20.96</v>
          </cell>
        </row>
        <row r="11">
          <cell r="AI11">
            <v>1838.9</v>
          </cell>
          <cell r="AO11">
            <v>2022.5</v>
          </cell>
        </row>
        <row r="12">
          <cell r="AI12">
            <v>490.6</v>
          </cell>
          <cell r="AO12">
            <v>539.72</v>
          </cell>
        </row>
        <row r="13">
          <cell r="AI13">
            <v>927.4</v>
          </cell>
          <cell r="AO13">
            <v>1142.2</v>
          </cell>
        </row>
        <row r="14">
          <cell r="AI14">
            <v>310.8</v>
          </cell>
          <cell r="AO14">
            <v>316.72500000000002</v>
          </cell>
        </row>
        <row r="15">
          <cell r="AI15">
            <v>6.5</v>
          </cell>
          <cell r="AO15">
            <v>6.7375000000000007</v>
          </cell>
        </row>
        <row r="16">
          <cell r="AI16">
            <v>290.10000000000002</v>
          </cell>
          <cell r="AO16">
            <v>318.24</v>
          </cell>
        </row>
        <row r="17">
          <cell r="AI17">
            <v>31.2</v>
          </cell>
          <cell r="AO17">
            <v>33.699999999999996</v>
          </cell>
        </row>
        <row r="18">
          <cell r="AI18">
            <v>1317.9</v>
          </cell>
          <cell r="AO18">
            <v>1516.08</v>
          </cell>
        </row>
        <row r="19">
          <cell r="AI19">
            <v>205.1</v>
          </cell>
          <cell r="AO19">
            <v>216.98</v>
          </cell>
        </row>
        <row r="20">
          <cell r="AI20">
            <v>1.0694999999999999</v>
          </cell>
          <cell r="AO20">
            <v>1.26</v>
          </cell>
        </row>
        <row r="22">
          <cell r="AI22">
            <v>659</v>
          </cell>
          <cell r="AO22">
            <v>741.82087139397686</v>
          </cell>
        </row>
        <row r="23">
          <cell r="AI23">
            <v>272</v>
          </cell>
          <cell r="AO23">
            <v>297.72438409591763</v>
          </cell>
        </row>
        <row r="24">
          <cell r="AI24">
            <v>185.9</v>
          </cell>
          <cell r="AO24">
            <v>195.91300457354092</v>
          </cell>
        </row>
        <row r="25">
          <cell r="AI25">
            <v>200.4</v>
          </cell>
          <cell r="AO25">
            <v>247.35032552550737</v>
          </cell>
        </row>
        <row r="26">
          <cell r="AI26">
            <v>2300.8000000000002</v>
          </cell>
          <cell r="AO26">
            <v>2728.3340939903997</v>
          </cell>
        </row>
        <row r="27">
          <cell r="AI27">
            <v>2298.5</v>
          </cell>
          <cell r="AO27">
            <v>2500.5104997874155</v>
          </cell>
        </row>
        <row r="28">
          <cell r="AI28">
            <v>14.8</v>
          </cell>
          <cell r="AO28">
            <v>15.721492042208194</v>
          </cell>
        </row>
        <row r="29">
          <cell r="AI29">
            <v>239.4</v>
          </cell>
          <cell r="AO29">
            <v>280</v>
          </cell>
        </row>
        <row r="30">
          <cell r="AI30">
            <v>2465.6219999999998</v>
          </cell>
          <cell r="AO30">
            <v>2537.9281608423826</v>
          </cell>
        </row>
        <row r="31">
          <cell r="AI31">
            <v>1224.201</v>
          </cell>
          <cell r="AO31">
            <v>1250.1268719296327</v>
          </cell>
        </row>
        <row r="32">
          <cell r="AI32">
            <v>6896.52</v>
          </cell>
          <cell r="AO32">
            <v>6931.0716341996858</v>
          </cell>
        </row>
        <row r="33">
          <cell r="AI33">
            <v>3.1</v>
          </cell>
          <cell r="AO33">
            <v>3.6602897084582406</v>
          </cell>
        </row>
        <row r="34">
          <cell r="AI34">
            <v>29.3</v>
          </cell>
          <cell r="AO34">
            <v>29.6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O&amp;G"/>
      <sheetName val="BP"/>
      <sheetName val="SOCAR"/>
      <sheetName val="OILPROC"/>
    </sheetNames>
    <sheetDataSet>
      <sheetData sheetId="0"/>
      <sheetData sheetId="1">
        <row r="6">
          <cell r="AC6">
            <v>38814.279999999992</v>
          </cell>
          <cell r="AI6">
            <v>29052.201000000001</v>
          </cell>
          <cell r="AO6">
            <v>27282.867562008782</v>
          </cell>
        </row>
        <row r="29">
          <cell r="AI29">
            <v>50339.394999999997</v>
          </cell>
          <cell r="AO29">
            <v>48054.080790423759</v>
          </cell>
        </row>
        <row r="47">
          <cell r="AI47">
            <v>38608.100000000006</v>
          </cell>
          <cell r="AO47">
            <v>36528.805814658015</v>
          </cell>
        </row>
      </sheetData>
      <sheetData sheetId="2"/>
      <sheetData sheetId="3"/>
      <sheetData sheetId="4">
        <row r="7">
          <cell r="AD7">
            <v>5543.7525000000005</v>
          </cell>
          <cell r="AJ7">
            <v>5331.7919999999995</v>
          </cell>
          <cell r="AP7">
            <v>6093.0449999999983</v>
          </cell>
        </row>
        <row r="8">
          <cell r="AJ8">
            <v>1248.4519999999998</v>
          </cell>
          <cell r="AP8">
            <v>1588.8630000000001</v>
          </cell>
        </row>
        <row r="9">
          <cell r="AJ9">
            <v>191.27200000000002</v>
          </cell>
          <cell r="AP9">
            <v>160.6</v>
          </cell>
        </row>
        <row r="10">
          <cell r="AJ10">
            <v>2060.585</v>
          </cell>
          <cell r="AP10">
            <v>2529.288</v>
          </cell>
        </row>
        <row r="13">
          <cell r="AJ13">
            <v>589.15899999999999</v>
          </cell>
          <cell r="AP13">
            <v>607.99900000000002</v>
          </cell>
        </row>
        <row r="14">
          <cell r="AJ14">
            <v>26.672000000000001</v>
          </cell>
          <cell r="AP14">
            <v>80</v>
          </cell>
        </row>
        <row r="15">
          <cell r="AJ15">
            <v>183.34100000000001</v>
          </cell>
          <cell r="AP15">
            <v>158.708</v>
          </cell>
        </row>
        <row r="17">
          <cell r="AJ17">
            <v>264.952</v>
          </cell>
          <cell r="AP17">
            <v>302.17200000000003</v>
          </cell>
        </row>
        <row r="18">
          <cell r="AJ18"/>
          <cell r="AP18"/>
        </row>
        <row r="19">
          <cell r="AJ19">
            <v>12.178999999999998</v>
          </cell>
          <cell r="AP19"/>
        </row>
        <row r="21">
          <cell r="AJ21">
            <v>39.150000000000006</v>
          </cell>
          <cell r="AP21">
            <v>79.262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"/>
      <sheetName val="eq"/>
      <sheetName val="2.2 VAR"/>
      <sheetName val="2.3"/>
      <sheetName val="3.1"/>
      <sheetName val="3.2. VAR"/>
      <sheetName val="3.3."/>
      <sheetName val="3.4. var"/>
      <sheetName val="3.5."/>
      <sheetName val="3.6. VAR"/>
      <sheetName val="3.7. VAR"/>
      <sheetName val="3.8. VAR"/>
      <sheetName val="3.9."/>
      <sheetName val="3.11. VAR"/>
      <sheetName val="3.12."/>
      <sheetName val="3.13. VAR"/>
      <sheetName val="3.14."/>
      <sheetName val="3.15. VAR"/>
      <sheetName val="3.16."/>
      <sheetName val="3.17. VAR"/>
      <sheetName val="3.18."/>
      <sheetName val="3.19. VAR"/>
      <sheetName val="3.20."/>
      <sheetName val="3.21. VAR"/>
      <sheetName val="3.22."/>
      <sheetName val="3.23."/>
      <sheetName val="3.24."/>
      <sheetName val="4."/>
      <sheetName val="5."/>
    </sheetNames>
    <sheetDataSet>
      <sheetData sheetId="0"/>
      <sheetData sheetId="1"/>
      <sheetData sheetId="2">
        <row r="15">
          <cell r="T15">
            <v>3566</v>
          </cell>
          <cell r="X15">
            <v>2660.9300000000003</v>
          </cell>
          <cell r="AD15">
            <v>4177.9531403444016</v>
          </cell>
        </row>
        <row r="17">
          <cell r="X17">
            <v>239.89</v>
          </cell>
          <cell r="AD17">
            <v>27094.223798252224</v>
          </cell>
        </row>
      </sheetData>
      <sheetData sheetId="3">
        <row r="13">
          <cell r="R13">
            <v>201.53899999999999</v>
          </cell>
          <cell r="X13">
            <v>250.0445</v>
          </cell>
          <cell r="AD13">
            <v>231.4</v>
          </cell>
        </row>
        <row r="14">
          <cell r="X14">
            <v>566.64094999999998</v>
          </cell>
          <cell r="AD14">
            <v>604.60714136520915</v>
          </cell>
        </row>
        <row r="16">
          <cell r="X16">
            <v>1501.6291000000001</v>
          </cell>
          <cell r="AD16">
            <v>1734.4235554469276</v>
          </cell>
        </row>
        <row r="17">
          <cell r="X17">
            <v>4057.8321000000001</v>
          </cell>
          <cell r="AD17">
            <v>4423.0269836607213</v>
          </cell>
        </row>
      </sheetData>
      <sheetData sheetId="4"/>
      <sheetData sheetId="5">
        <row r="21">
          <cell r="R21">
            <v>23757.4</v>
          </cell>
          <cell r="X21">
            <v>49863.8</v>
          </cell>
          <cell r="AD21">
            <v>53022.07231856302</v>
          </cell>
        </row>
        <row r="24">
          <cell r="X24">
            <v>1504.4</v>
          </cell>
          <cell r="AD24">
            <v>1828.2015594272002</v>
          </cell>
        </row>
        <row r="26">
          <cell r="X26">
            <v>758.6</v>
          </cell>
          <cell r="AD26">
            <v>929.3105241408</v>
          </cell>
        </row>
        <row r="27">
          <cell r="X27">
            <v>5312.9</v>
          </cell>
          <cell r="AD27">
            <v>5875.3598883969389</v>
          </cell>
        </row>
        <row r="29">
          <cell r="X29">
            <v>445.2</v>
          </cell>
          <cell r="AD29">
            <v>526.43040986239998</v>
          </cell>
        </row>
        <row r="30">
          <cell r="X30">
            <v>96</v>
          </cell>
          <cell r="AD30">
            <v>110.13964864100822</v>
          </cell>
        </row>
        <row r="31">
          <cell r="X31">
            <v>145.1</v>
          </cell>
          <cell r="AD31">
            <v>146.20099999999999</v>
          </cell>
        </row>
        <row r="32">
          <cell r="X32">
            <v>178.1</v>
          </cell>
          <cell r="AD32">
            <v>198.74663202399998</v>
          </cell>
        </row>
        <row r="33">
          <cell r="X33">
            <v>42.6</v>
          </cell>
          <cell r="AD33">
            <v>43.102617450438352</v>
          </cell>
        </row>
        <row r="34">
          <cell r="X34">
            <v>48.6</v>
          </cell>
          <cell r="AD34">
            <v>2.75</v>
          </cell>
        </row>
      </sheetData>
      <sheetData sheetId="6">
        <row r="9">
          <cell r="R9">
            <v>3501.7</v>
          </cell>
          <cell r="X9">
            <v>3804.9</v>
          </cell>
          <cell r="AD9">
            <v>3943.9251923076931</v>
          </cell>
        </row>
        <row r="10">
          <cell r="X10">
            <v>15192.27</v>
          </cell>
          <cell r="AD10">
            <v>17877.138999999999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15">
          <cell r="T15">
            <v>131.42310000000001</v>
          </cell>
          <cell r="X15">
            <v>121.71</v>
          </cell>
          <cell r="AD15">
            <v>92.009785078868205</v>
          </cell>
        </row>
        <row r="16">
          <cell r="X16">
            <v>124.23</v>
          </cell>
          <cell r="AD16">
            <v>109.51198240349011</v>
          </cell>
        </row>
        <row r="17">
          <cell r="X17">
            <v>516.51</v>
          </cell>
          <cell r="AD17">
            <v>480.572</v>
          </cell>
        </row>
        <row r="18">
          <cell r="X18">
            <v>119.48</v>
          </cell>
          <cell r="AD18">
            <v>73.653000000000006</v>
          </cell>
        </row>
        <row r="19">
          <cell r="X19">
            <v>120.66</v>
          </cell>
          <cell r="AD19">
            <v>105.83499999999999</v>
          </cell>
        </row>
        <row r="21">
          <cell r="X21">
            <v>38.78</v>
          </cell>
          <cell r="AD21">
            <v>65.55</v>
          </cell>
        </row>
        <row r="22">
          <cell r="X22">
            <v>652.33000000000004</v>
          </cell>
          <cell r="AD22">
            <v>600</v>
          </cell>
        </row>
      </sheetData>
      <sheetData sheetId="14"/>
      <sheetData sheetId="15"/>
      <sheetData sheetId="16"/>
      <sheetData sheetId="17">
        <row r="15">
          <cell r="R15">
            <v>19.602599999999999</v>
          </cell>
          <cell r="X15">
            <v>38.18</v>
          </cell>
          <cell r="AD15">
            <v>37</v>
          </cell>
        </row>
      </sheetData>
      <sheetData sheetId="18"/>
      <sheetData sheetId="19"/>
      <sheetData sheetId="20"/>
      <sheetData sheetId="21">
        <row r="14">
          <cell r="R14">
            <v>1242</v>
          </cell>
          <cell r="X14">
            <v>623</v>
          </cell>
          <cell r="AD14">
            <v>681</v>
          </cell>
        </row>
        <row r="15">
          <cell r="X15">
            <v>27453.3</v>
          </cell>
          <cell r="AD15">
            <v>27453.3</v>
          </cell>
        </row>
        <row r="19">
          <cell r="X19">
            <v>6162</v>
          </cell>
          <cell r="AD19">
            <v>7201</v>
          </cell>
        </row>
      </sheetData>
      <sheetData sheetId="22"/>
      <sheetData sheetId="23"/>
      <sheetData sheetId="24"/>
      <sheetData sheetId="25">
        <row r="10">
          <cell r="C10" t="str">
            <v>Zərgərlik məmulatları və qiymətli metallardan onların hissələri (qalvanik örtüklü, qızıla (gümüşə) tutulmuş metallar da daxil edilməklə)</v>
          </cell>
          <cell r="X10">
            <v>10992</v>
          </cell>
          <cell r="AD10">
            <v>23013.543696000008</v>
          </cell>
        </row>
      </sheetData>
      <sheetData sheetId="26">
        <row r="9">
          <cell r="R9">
            <v>25347.3</v>
          </cell>
          <cell r="X9">
            <v>48758.7</v>
          </cell>
          <cell r="AD9">
            <v>59681.370124018133</v>
          </cell>
        </row>
      </sheetData>
      <sheetData sheetId="27">
        <row r="16">
          <cell r="T16">
            <v>22041</v>
          </cell>
          <cell r="X16">
            <v>22282.55</v>
          </cell>
          <cell r="AD16">
            <v>27945.539348838371</v>
          </cell>
        </row>
        <row r="18">
          <cell r="X18">
            <v>50.54</v>
          </cell>
          <cell r="AD18">
            <v>2285.8000000000002</v>
          </cell>
        </row>
        <row r="19">
          <cell r="X19">
            <v>546.17999999999995</v>
          </cell>
          <cell r="AD19">
            <v>2509.5</v>
          </cell>
        </row>
        <row r="22">
          <cell r="X22">
            <v>3326.7</v>
          </cell>
          <cell r="AD22">
            <v>2689.596</v>
          </cell>
        </row>
      </sheetData>
      <sheetData sheetId="28">
        <row r="8">
          <cell r="R8">
            <v>38.804000000000002</v>
          </cell>
          <cell r="X8">
            <v>360.09399999999999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NvR"/>
      <sheetName val="N"/>
      <sheetName val="İvR"/>
      <sheetName val="eq"/>
    </sheetNames>
    <sheetDataSet>
      <sheetData sheetId="0"/>
      <sheetData sheetId="1">
        <row r="6">
          <cell r="AC6">
            <v>230144.2</v>
          </cell>
          <cell r="AI6">
            <v>238885.69999999995</v>
          </cell>
        </row>
        <row r="7">
          <cell r="AI7">
            <v>18565.3</v>
          </cell>
        </row>
        <row r="8">
          <cell r="AI8">
            <v>143477.09999999998</v>
          </cell>
        </row>
        <row r="9">
          <cell r="AI9">
            <v>8621.6</v>
          </cell>
        </row>
        <row r="10">
          <cell r="AI10">
            <v>418.8</v>
          </cell>
        </row>
        <row r="11">
          <cell r="AI11">
            <v>67802.899999999994</v>
          </cell>
        </row>
        <row r="12">
          <cell r="AI12">
            <v>38752.1</v>
          </cell>
        </row>
        <row r="13">
          <cell r="AI13">
            <v>20994.3</v>
          </cell>
        </row>
        <row r="14">
          <cell r="AI14">
            <v>29050.799999999996</v>
          </cell>
        </row>
        <row r="15">
          <cell r="AI15">
            <v>16254.214285714279</v>
          </cell>
        </row>
        <row r="16">
          <cell r="AI16">
            <v>96991.9</v>
          </cell>
        </row>
        <row r="17">
          <cell r="AI17">
            <v>7027.4</v>
          </cell>
        </row>
        <row r="18">
          <cell r="AI18">
            <v>13445.5</v>
          </cell>
        </row>
        <row r="19">
          <cell r="AI19">
            <v>6971.1</v>
          </cell>
        </row>
        <row r="20">
          <cell r="AI20">
            <v>3443.7</v>
          </cell>
        </row>
        <row r="21">
          <cell r="AI21">
            <v>66104.2</v>
          </cell>
        </row>
        <row r="22">
          <cell r="AI22">
            <v>52996.7</v>
          </cell>
        </row>
        <row r="23">
          <cell r="AI23">
            <v>37155.317544248079</v>
          </cell>
        </row>
        <row r="24">
          <cell r="AI24">
            <v>13107.5</v>
          </cell>
        </row>
        <row r="43">
          <cell r="AI43">
            <v>39411.700000000004</v>
          </cell>
        </row>
        <row r="44">
          <cell r="AI44">
            <v>377.2</v>
          </cell>
        </row>
        <row r="45">
          <cell r="AI45">
            <v>28424.600000000002</v>
          </cell>
        </row>
        <row r="46">
          <cell r="AI46">
            <v>13</v>
          </cell>
        </row>
        <row r="47">
          <cell r="AI47">
            <v>7888.6</v>
          </cell>
        </row>
        <row r="48">
          <cell r="AI48">
            <v>2708.3</v>
          </cell>
        </row>
        <row r="122">
          <cell r="AI122">
            <v>11323</v>
          </cell>
        </row>
        <row r="123">
          <cell r="AI123">
            <v>1400</v>
          </cell>
        </row>
        <row r="124">
          <cell r="AI124">
            <v>14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"/>
      <sheetName val="7_10"/>
      <sheetName val="8"/>
      <sheetName val="add8"/>
      <sheetName val="9"/>
      <sheetName val="add9"/>
      <sheetName val="eq8"/>
      <sheetName val="eq9"/>
      <sheetName val="Лист1"/>
    </sheetNames>
    <sheetDataSet>
      <sheetData sheetId="0"/>
      <sheetData sheetId="1">
        <row r="6">
          <cell r="AC6">
            <v>53103.7</v>
          </cell>
          <cell r="AI6">
            <v>83093.399999999994</v>
          </cell>
          <cell r="AO6">
            <v>140165.60367535069</v>
          </cell>
        </row>
        <row r="7">
          <cell r="AI7">
            <v>4.0710774295158387</v>
          </cell>
          <cell r="AO7">
            <v>1.6907042801503422</v>
          </cell>
        </row>
        <row r="8">
          <cell r="AI8">
            <v>81090.200000000012</v>
          </cell>
          <cell r="AO8">
            <v>134654.98237326808</v>
          </cell>
        </row>
        <row r="9">
          <cell r="AI9">
            <v>3.7959292430079756</v>
          </cell>
          <cell r="AO9">
            <v>1.3726533660982625</v>
          </cell>
        </row>
        <row r="11">
          <cell r="AI11">
            <v>12885.5</v>
          </cell>
          <cell r="AO11">
            <v>22229.865018928369</v>
          </cell>
        </row>
        <row r="12">
          <cell r="AI12">
            <v>8.6</v>
          </cell>
          <cell r="AO12">
            <v>3.3931008231260762</v>
          </cell>
        </row>
      </sheetData>
      <sheetData sheetId="2">
        <row r="7">
          <cell r="AE7">
            <v>707.7</v>
          </cell>
          <cell r="AI7">
            <v>1009.2</v>
          </cell>
          <cell r="AO7">
            <v>1522.546776366572</v>
          </cell>
        </row>
        <row r="8">
          <cell r="AI8">
            <v>5.7367532027486732</v>
          </cell>
          <cell r="AO8">
            <v>-0.57559653024929081</v>
          </cell>
        </row>
        <row r="58">
          <cell r="AI58">
            <v>3729.4</v>
          </cell>
          <cell r="AO58">
            <v>3861.8772140571987</v>
          </cell>
        </row>
        <row r="59">
          <cell r="AI59">
            <v>4.0732217373558228</v>
          </cell>
          <cell r="AO59">
            <v>-5.7762726567656699</v>
          </cell>
        </row>
        <row r="60">
          <cell r="AI60">
            <v>959.6</v>
          </cell>
          <cell r="AO60">
            <v>1486.8573952721274</v>
          </cell>
        </row>
        <row r="61">
          <cell r="AI61">
            <v>6.0952823200327089</v>
          </cell>
          <cell r="AO61">
            <v>-0.49215162008501573</v>
          </cell>
        </row>
      </sheetData>
      <sheetData sheetId="3"/>
      <sheetData sheetId="4">
        <row r="7">
          <cell r="AE7">
            <v>4721.2</v>
          </cell>
          <cell r="AI7">
            <v>5029.8</v>
          </cell>
          <cell r="AO7">
            <v>5332.3364377225043</v>
          </cell>
        </row>
        <row r="8">
          <cell r="AI8">
            <v>1.339834384381362</v>
          </cell>
          <cell r="AO8">
            <v>0.66729071877232116</v>
          </cell>
        </row>
        <row r="58">
          <cell r="AI58">
            <v>31.8</v>
          </cell>
        </row>
        <row r="59">
          <cell r="AI59">
            <v>1.2738853503184657</v>
          </cell>
        </row>
        <row r="60">
          <cell r="AI60">
            <v>4998</v>
          </cell>
        </row>
        <row r="61">
          <cell r="AI61">
            <v>1.3402542630629029</v>
          </cell>
        </row>
      </sheetData>
      <sheetData sheetId="5">
        <row r="5">
          <cell r="AC5">
            <v>9951.4</v>
          </cell>
        </row>
      </sheetData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  <sheetName val="Mon"/>
      <sheetName val="11_12"/>
      <sheetName val="eq"/>
      <sheetName val="monthly"/>
      <sheetName val="reerEA"/>
    </sheetNames>
    <sheetDataSet>
      <sheetData sheetId="0"/>
      <sheetData sheetId="1"/>
      <sheetData sheetId="2">
        <row r="6">
          <cell r="AC6">
            <v>2.2999999999999972</v>
          </cell>
          <cell r="AI6">
            <v>2.2000000000000002</v>
          </cell>
          <cell r="AO6">
            <v>7.2035648256658931</v>
          </cell>
        </row>
      </sheetData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&amp;A BOP"/>
      <sheetName val="Non-oil export"/>
      <sheetName val="BOP"/>
      <sheetName val="Trade of Oil-Gas"/>
      <sheetName val="External Debt"/>
      <sheetName val="Trade of goods"/>
      <sheetName val="Trade of Service"/>
      <sheetName val="Income account"/>
      <sheetName val="Cap-FinAccount"/>
      <sheetName val="eq14"/>
      <sheetName val="BVM"/>
      <sheetName val="IMF"/>
      <sheetName val="IIPupd"/>
    </sheetNames>
    <sheetDataSet>
      <sheetData sheetId="0"/>
      <sheetData sheetId="1"/>
      <sheetData sheetId="2">
        <row r="4">
          <cell r="AC4">
            <v>6051.0769999999993</v>
          </cell>
          <cell r="AI4">
            <v>4671.1079999999984</v>
          </cell>
        </row>
        <row r="8">
          <cell r="AI8">
            <v>8824.9439999999959</v>
          </cell>
        </row>
        <row r="9">
          <cell r="AI9">
            <v>25992.027999999998</v>
          </cell>
        </row>
        <row r="10">
          <cell r="AI10">
            <v>22750.992999999999</v>
          </cell>
        </row>
        <row r="11">
          <cell r="AI11">
            <v>3241.0349999999999</v>
          </cell>
        </row>
        <row r="12">
          <cell r="AI12">
            <v>17167.084000000003</v>
          </cell>
        </row>
        <row r="13">
          <cell r="AI13">
            <v>2468.8310000000001</v>
          </cell>
        </row>
        <row r="14">
          <cell r="AI14">
            <v>14698.253000000001</v>
          </cell>
        </row>
        <row r="15">
          <cell r="AI15">
            <v>-2050.8449999999984</v>
          </cell>
        </row>
        <row r="16">
          <cell r="AI16">
            <v>8120.8789999999999</v>
          </cell>
        </row>
        <row r="17">
          <cell r="AI17">
            <v>1607.5350000000001</v>
          </cell>
        </row>
        <row r="18">
          <cell r="AI18">
            <v>6513.3440000000001</v>
          </cell>
        </row>
        <row r="19">
          <cell r="AI19">
            <v>10171.723999999998</v>
          </cell>
        </row>
        <row r="20">
          <cell r="AI20">
            <v>3450.5910000000003</v>
          </cell>
        </row>
        <row r="21">
          <cell r="AI21">
            <v>6721.1329999999989</v>
          </cell>
        </row>
        <row r="22">
          <cell r="AI22">
            <v>-2734.7349999999997</v>
          </cell>
        </row>
        <row r="29">
          <cell r="AI29">
            <v>631.74400000000014</v>
          </cell>
        </row>
        <row r="33">
          <cell r="AI33">
            <v>-1.4449999999999998</v>
          </cell>
        </row>
        <row r="36">
          <cell r="AI36">
            <v>-6628.8765000000003</v>
          </cell>
        </row>
        <row r="57">
          <cell r="AI57">
            <v>2065.8995000000018</v>
          </cell>
        </row>
        <row r="61">
          <cell r="AI61">
            <v>-106.68600000000001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G40"/>
  <sheetViews>
    <sheetView view="pageBreakPreview" zoomScaleSheetLayoutView="100" workbookViewId="0">
      <pane xSplit="4" ySplit="3" topLeftCell="E4" activePane="bottomRight" state="frozenSplit"/>
      <selection sqref="A1:N1"/>
      <selection pane="topRight" sqref="A1:N1"/>
      <selection pane="bottomLeft" sqref="A1:N1"/>
      <selection pane="bottomRight" activeCell="G11" sqref="G11"/>
    </sheetView>
  </sheetViews>
  <sheetFormatPr defaultColWidth="9.140625" defaultRowHeight="12.75" x14ac:dyDescent="0.2"/>
  <cols>
    <col min="1" max="1" width="4.85546875" style="35" customWidth="1"/>
    <col min="2" max="3" width="26.42578125" style="36" customWidth="1"/>
    <col min="4" max="4" width="10.5703125" style="90" customWidth="1"/>
    <col min="5" max="5" width="10.85546875" style="4" customWidth="1"/>
    <col min="6" max="6" width="10.85546875" style="4" hidden="1" customWidth="1"/>
    <col min="7" max="7" width="38" style="37" customWidth="1"/>
    <col min="8" max="16384" width="9.140625" style="37"/>
  </cols>
  <sheetData>
    <row r="1" spans="1:7" customFormat="1" ht="27" customHeight="1" x14ac:dyDescent="0.2">
      <c r="A1" s="205" t="s">
        <v>385</v>
      </c>
      <c r="B1" s="205"/>
      <c r="C1" s="205"/>
      <c r="D1" s="205"/>
      <c r="E1" s="205"/>
      <c r="F1" s="161"/>
    </row>
    <row r="2" spans="1:7" customFormat="1" x14ac:dyDescent="0.2">
      <c r="A2" s="206" t="s">
        <v>0</v>
      </c>
      <c r="B2" s="208" t="s">
        <v>1</v>
      </c>
      <c r="C2" s="212" t="s">
        <v>394</v>
      </c>
      <c r="D2" s="210" t="s">
        <v>2</v>
      </c>
      <c r="E2" s="158"/>
      <c r="F2" s="163"/>
      <c r="G2" s="166" t="s">
        <v>395</v>
      </c>
    </row>
    <row r="3" spans="1:7" customFormat="1" ht="12.4" customHeight="1" x14ac:dyDescent="0.2">
      <c r="A3" s="207"/>
      <c r="B3" s="209"/>
      <c r="C3" s="213"/>
      <c r="D3" s="211"/>
      <c r="E3" s="140">
        <v>2024</v>
      </c>
      <c r="F3" s="160">
        <v>2030</v>
      </c>
    </row>
    <row r="4" spans="1:7" customFormat="1" ht="25.5" x14ac:dyDescent="0.2">
      <c r="A4" s="55" t="s">
        <v>15</v>
      </c>
      <c r="B4" s="56" t="s">
        <v>43</v>
      </c>
      <c r="C4" s="167" t="s">
        <v>396</v>
      </c>
      <c r="D4" s="85" t="s">
        <v>6</v>
      </c>
      <c r="E4" s="57">
        <f>'[1]ÜDM sahələr üzrə'!AI5</f>
        <v>126337.0099</v>
      </c>
      <c r="F4" s="154">
        <f>'[1]ÜDM sahələr üzrə'!AO5</f>
        <v>168392.9452893007</v>
      </c>
      <c r="G4" s="168" t="s">
        <v>397</v>
      </c>
    </row>
    <row r="5" spans="1:7" customFormat="1" x14ac:dyDescent="0.2">
      <c r="A5" s="1"/>
      <c r="B5" s="2" t="s">
        <v>44</v>
      </c>
      <c r="C5" s="2" t="s">
        <v>398</v>
      </c>
      <c r="D5" s="86" t="s">
        <v>4</v>
      </c>
      <c r="E5" s="4">
        <f>'[1]ÜDM sahələr üzrə'!AI6</f>
        <v>4.0660313763596729</v>
      </c>
      <c r="F5" s="5">
        <f>'[1]ÜDM sahələr üzrə'!AO6</f>
        <v>0.97038856638787074</v>
      </c>
    </row>
    <row r="6" spans="1:7" customFormat="1" x14ac:dyDescent="0.2">
      <c r="A6" s="6"/>
      <c r="B6" s="7" t="s">
        <v>45</v>
      </c>
      <c r="C6" s="169" t="s">
        <v>399</v>
      </c>
      <c r="D6" s="87" t="s">
        <v>4</v>
      </c>
      <c r="E6" s="9">
        <f>'[1]ÜDM sahələr üzrə'!AI7</f>
        <v>-1.4031026580185539</v>
      </c>
      <c r="F6" s="10">
        <f>'[1]ÜDM sahələr üzrə'!AO7</f>
        <v>4.6446212801958922</v>
      </c>
      <c r="G6" s="168" t="s">
        <v>397</v>
      </c>
    </row>
    <row r="7" spans="1:7" customFormat="1" ht="25.5" x14ac:dyDescent="0.2">
      <c r="A7" s="60" t="s">
        <v>16</v>
      </c>
      <c r="B7" s="61" t="s">
        <v>386</v>
      </c>
      <c r="C7" s="170" t="s">
        <v>400</v>
      </c>
      <c r="D7" s="89" t="s">
        <v>6</v>
      </c>
      <c r="E7" s="63">
        <f>'[1]ÜDM sahələr üzrə'!AI366</f>
        <v>40624.6</v>
      </c>
      <c r="F7" s="64">
        <f>'[1]ÜDM sahələr üzrə'!AO366</f>
        <v>32416.157512714864</v>
      </c>
      <c r="G7" s="168" t="s">
        <v>397</v>
      </c>
    </row>
    <row r="8" spans="1:7" customFormat="1" x14ac:dyDescent="0.2">
      <c r="A8" s="1"/>
      <c r="B8" s="2" t="s">
        <v>44</v>
      </c>
      <c r="C8" s="2" t="s">
        <v>398</v>
      </c>
      <c r="D8" s="86" t="s">
        <v>4</v>
      </c>
      <c r="E8" s="4">
        <f>'[1]ÜDM sahələr üzrə'!AI367</f>
        <v>0.25228337875894058</v>
      </c>
      <c r="F8" s="5">
        <f>'[1]ÜDM sahələr üzrə'!AO367</f>
        <v>-1.0913632743561283</v>
      </c>
    </row>
    <row r="9" spans="1:7" customFormat="1" x14ac:dyDescent="0.2">
      <c r="A9" s="1"/>
      <c r="B9" s="2" t="s">
        <v>45</v>
      </c>
      <c r="C9" s="2" t="s">
        <v>401</v>
      </c>
      <c r="D9" s="86" t="s">
        <v>4</v>
      </c>
      <c r="E9" s="4">
        <f>'[1]ÜDM sahələr üzrə'!AI368</f>
        <v>-8.1918596431628714</v>
      </c>
      <c r="F9" s="5">
        <f>'[1]ÜDM sahələr üzrə'!AO368</f>
        <v>1.1990833995223227</v>
      </c>
    </row>
    <row r="10" spans="1:7" customFormat="1" x14ac:dyDescent="0.2">
      <c r="A10" s="6"/>
      <c r="B10" s="7" t="s">
        <v>46</v>
      </c>
      <c r="C10" s="169" t="s">
        <v>402</v>
      </c>
      <c r="D10" s="87" t="s">
        <v>4</v>
      </c>
      <c r="E10" s="9">
        <f t="shared" ref="E10" si="0">E7/E4*100</f>
        <v>32.155739661842354</v>
      </c>
      <c r="F10" s="10">
        <f t="shared" ref="F10" si="1">F7/F4*100</f>
        <v>19.250306155654915</v>
      </c>
      <c r="G10" s="168" t="s">
        <v>397</v>
      </c>
    </row>
    <row r="11" spans="1:7" customFormat="1" ht="25.5" x14ac:dyDescent="0.2">
      <c r="A11" s="60" t="s">
        <v>8</v>
      </c>
      <c r="B11" s="56" t="s">
        <v>387</v>
      </c>
      <c r="C11" s="167" t="s">
        <v>403</v>
      </c>
      <c r="D11" s="85" t="s">
        <v>6</v>
      </c>
      <c r="E11" s="63">
        <f>'[1]ÜDM sahələr üzrə'!AI363</f>
        <v>85712.409899999999</v>
      </c>
      <c r="F11" s="64">
        <f>'[1]ÜDM sahələr üzrə'!AO363</f>
        <v>135976.78777658584</v>
      </c>
      <c r="G11" s="168" t="s">
        <v>404</v>
      </c>
    </row>
    <row r="12" spans="1:7" customFormat="1" x14ac:dyDescent="0.2">
      <c r="A12" s="1"/>
      <c r="B12" s="2" t="s">
        <v>44</v>
      </c>
      <c r="C12" s="2" t="s">
        <v>398</v>
      </c>
      <c r="D12" s="86" t="s">
        <v>4</v>
      </c>
      <c r="E12" s="4">
        <f>'[1]ÜDM sahələr üzrə'!AI364</f>
        <v>6.1970717720610171</v>
      </c>
      <c r="F12" s="5">
        <f>'[1]ÜDM sahələr üzrə'!AO364</f>
        <v>1.4961980811331075</v>
      </c>
    </row>
    <row r="13" spans="1:7" customFormat="1" x14ac:dyDescent="0.2">
      <c r="A13" s="1"/>
      <c r="B13" s="2" t="s">
        <v>45</v>
      </c>
      <c r="C13" s="2" t="s">
        <v>401</v>
      </c>
      <c r="D13" s="86" t="s">
        <v>4</v>
      </c>
      <c r="E13" s="4">
        <f>'[1]ÜDM sahələr üzrə'!AI365</f>
        <v>2.1779580495641113</v>
      </c>
      <c r="F13" s="5">
        <f>'[1]ÜDM sahələr üzrə'!AO365</f>
        <v>5.5009362180855561</v>
      </c>
    </row>
    <row r="14" spans="1:7" customFormat="1" x14ac:dyDescent="0.2">
      <c r="A14" s="6"/>
      <c r="B14" s="7" t="s">
        <v>46</v>
      </c>
      <c r="C14" s="169" t="s">
        <v>402</v>
      </c>
      <c r="D14" s="87" t="s">
        <v>4</v>
      </c>
      <c r="E14" s="9">
        <f t="shared" ref="E14" si="2">E11/E4*100</f>
        <v>67.844260338157653</v>
      </c>
      <c r="F14" s="10">
        <f t="shared" ref="F14" si="3">F11/F4*100</f>
        <v>80.749693844345089</v>
      </c>
      <c r="G14" s="168" t="s">
        <v>397</v>
      </c>
    </row>
    <row r="15" spans="1:7" customFormat="1" x14ac:dyDescent="0.2">
      <c r="A15" s="35"/>
      <c r="B15" s="36"/>
      <c r="C15" s="36"/>
      <c r="D15" s="90"/>
      <c r="E15" s="4"/>
      <c r="F15" s="4"/>
    </row>
    <row r="16" spans="1:7" customFormat="1" x14ac:dyDescent="0.2">
      <c r="A16" s="35"/>
      <c r="B16" s="36"/>
      <c r="C16" s="36"/>
      <c r="D16" s="90"/>
      <c r="E16" s="4"/>
      <c r="F16" s="4"/>
    </row>
    <row r="17" spans="1:6" customFormat="1" x14ac:dyDescent="0.2">
      <c r="A17" s="35"/>
      <c r="B17" s="36"/>
      <c r="C17" s="36"/>
      <c r="D17" s="90"/>
      <c r="E17" s="4"/>
      <c r="F17" s="4"/>
    </row>
    <row r="18" spans="1:6" customFormat="1" x14ac:dyDescent="0.2">
      <c r="A18" s="35"/>
      <c r="B18" s="36"/>
      <c r="C18" s="36"/>
      <c r="D18" s="90"/>
      <c r="E18" s="4"/>
      <c r="F18" s="4"/>
    </row>
    <row r="19" spans="1:6" customFormat="1" x14ac:dyDescent="0.2">
      <c r="A19" s="35"/>
      <c r="B19" s="36"/>
      <c r="C19" s="36"/>
      <c r="D19" s="90"/>
      <c r="E19" s="4"/>
      <c r="F19" s="4"/>
    </row>
    <row r="20" spans="1:6" customFormat="1" x14ac:dyDescent="0.2">
      <c r="A20" s="35"/>
      <c r="B20" s="36"/>
      <c r="C20" s="36"/>
      <c r="D20" s="90"/>
      <c r="E20" s="4"/>
      <c r="F20" s="4"/>
    </row>
    <row r="21" spans="1:6" customFormat="1" x14ac:dyDescent="0.2">
      <c r="A21" s="35"/>
      <c r="B21" s="36"/>
      <c r="C21" s="36"/>
      <c r="D21" s="90"/>
      <c r="E21" s="4"/>
      <c r="F21" s="4"/>
    </row>
    <row r="22" spans="1:6" customFormat="1" x14ac:dyDescent="0.2">
      <c r="A22" s="35"/>
      <c r="B22" s="36"/>
      <c r="C22" s="36"/>
      <c r="D22" s="90"/>
      <c r="E22" s="4"/>
      <c r="F22" s="4"/>
    </row>
    <row r="23" spans="1:6" customFormat="1" x14ac:dyDescent="0.2">
      <c r="A23" s="35"/>
      <c r="B23" s="36"/>
      <c r="C23" s="36"/>
      <c r="D23" s="90"/>
      <c r="E23" s="4"/>
      <c r="F23" s="4"/>
    </row>
    <row r="24" spans="1:6" customFormat="1" x14ac:dyDescent="0.2">
      <c r="A24" s="35"/>
      <c r="B24" s="36"/>
      <c r="C24" s="36"/>
      <c r="D24" s="90"/>
      <c r="E24" s="4"/>
      <c r="F24" s="4"/>
    </row>
    <row r="25" spans="1:6" customFormat="1" x14ac:dyDescent="0.2">
      <c r="A25" s="35"/>
      <c r="B25" s="36"/>
      <c r="C25" s="36"/>
      <c r="D25" s="90"/>
      <c r="E25" s="4"/>
      <c r="F25" s="4"/>
    </row>
    <row r="26" spans="1:6" customFormat="1" x14ac:dyDescent="0.2">
      <c r="A26" s="35"/>
      <c r="B26" s="36"/>
      <c r="C26" s="36"/>
      <c r="D26" s="90"/>
      <c r="E26" s="4"/>
      <c r="F26" s="4"/>
    </row>
    <row r="27" spans="1:6" customFormat="1" x14ac:dyDescent="0.2">
      <c r="A27" s="35"/>
      <c r="B27" s="36"/>
      <c r="C27" s="36"/>
      <c r="D27" s="90"/>
      <c r="E27" s="4"/>
      <c r="F27" s="4"/>
    </row>
    <row r="28" spans="1:6" customFormat="1" x14ac:dyDescent="0.2">
      <c r="A28" s="35"/>
      <c r="B28" s="36"/>
      <c r="C28" s="36"/>
      <c r="D28" s="90"/>
      <c r="E28" s="4"/>
      <c r="F28" s="4"/>
    </row>
    <row r="29" spans="1:6" customFormat="1" x14ac:dyDescent="0.2">
      <c r="A29" s="35"/>
      <c r="B29" s="36"/>
      <c r="C29" s="36"/>
      <c r="D29" s="90"/>
      <c r="E29" s="4"/>
      <c r="F29" s="4"/>
    </row>
    <row r="30" spans="1:6" customFormat="1" x14ac:dyDescent="0.2">
      <c r="A30" s="35"/>
      <c r="B30" s="36"/>
      <c r="C30" s="36"/>
      <c r="D30" s="90"/>
      <c r="E30" s="4"/>
      <c r="F30" s="4"/>
    </row>
    <row r="31" spans="1:6" customFormat="1" x14ac:dyDescent="0.2">
      <c r="A31" s="35"/>
      <c r="B31" s="36"/>
      <c r="C31" s="36"/>
      <c r="D31" s="90"/>
      <c r="E31" s="4"/>
      <c r="F31" s="4"/>
    </row>
    <row r="32" spans="1:6" customFormat="1" x14ac:dyDescent="0.2">
      <c r="A32" s="35"/>
      <c r="B32" s="36"/>
      <c r="C32" s="36"/>
      <c r="D32" s="90"/>
      <c r="E32" s="4"/>
      <c r="F32" s="4"/>
    </row>
    <row r="33" spans="1:6" customFormat="1" x14ac:dyDescent="0.2">
      <c r="A33" s="35"/>
      <c r="B33" s="36"/>
      <c r="C33" s="36"/>
      <c r="D33" s="90"/>
      <c r="E33" s="4"/>
      <c r="F33" s="4"/>
    </row>
    <row r="34" spans="1:6" customFormat="1" x14ac:dyDescent="0.2">
      <c r="A34" s="35"/>
      <c r="B34" s="36"/>
      <c r="C34" s="36"/>
      <c r="D34" s="90"/>
      <c r="E34" s="4"/>
      <c r="F34" s="4"/>
    </row>
    <row r="35" spans="1:6" customFormat="1" x14ac:dyDescent="0.2">
      <c r="A35" s="35"/>
      <c r="B35" s="36"/>
      <c r="C35" s="36"/>
      <c r="D35" s="90"/>
      <c r="E35" s="4"/>
      <c r="F35" s="4"/>
    </row>
    <row r="36" spans="1:6" customFormat="1" x14ac:dyDescent="0.2">
      <c r="A36" s="35"/>
      <c r="B36" s="36"/>
      <c r="C36" s="36"/>
      <c r="D36" s="90"/>
      <c r="E36" s="4"/>
      <c r="F36" s="4"/>
    </row>
    <row r="37" spans="1:6" customFormat="1" x14ac:dyDescent="0.2">
      <c r="A37" s="35"/>
      <c r="B37" s="36"/>
      <c r="C37" s="36"/>
      <c r="D37" s="90"/>
      <c r="E37" s="4"/>
      <c r="F37" s="4"/>
    </row>
    <row r="38" spans="1:6" customFormat="1" x14ac:dyDescent="0.2">
      <c r="A38" s="35"/>
      <c r="B38" s="36"/>
      <c r="C38" s="36"/>
      <c r="D38" s="90"/>
      <c r="E38" s="4"/>
      <c r="F38" s="4"/>
    </row>
    <row r="39" spans="1:6" customFormat="1" x14ac:dyDescent="0.2">
      <c r="A39" s="35"/>
      <c r="B39" s="36"/>
      <c r="C39" s="36"/>
      <c r="D39" s="90"/>
      <c r="E39" s="4"/>
      <c r="F39" s="4"/>
    </row>
    <row r="40" spans="1:6" customFormat="1" x14ac:dyDescent="0.2">
      <c r="A40" s="35"/>
      <c r="B40" s="36"/>
      <c r="C40" s="36"/>
      <c r="D40" s="90"/>
      <c r="E40" s="4"/>
      <c r="F40" s="4"/>
    </row>
  </sheetData>
  <mergeCells count="5">
    <mergeCell ref="A1:E1"/>
    <mergeCell ref="A2:A3"/>
    <mergeCell ref="B2:B3"/>
    <mergeCell ref="D2:D3"/>
    <mergeCell ref="C2:C3"/>
  </mergeCells>
  <pageMargins left="0.54" right="7.8740157480315001E-2" top="0.39370078740157499" bottom="0.59055118110236204" header="0.31496062992126" footer="0.31496062992126"/>
  <pageSetup paperSize="9" orientation="portrait" useFirstPageNumber="1" horizontalDpi="1200" verticalDpi="1200" r:id="rId1"/>
  <headerFooter>
    <oddFooter>&amp;L &amp;Csəh.&amp;P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2">
    <pageSetUpPr fitToPage="1"/>
  </sheetPr>
  <dimension ref="A1:G290"/>
  <sheetViews>
    <sheetView view="pageBreakPreview" zoomScaleSheetLayoutView="100" workbookViewId="0">
      <pane xSplit="4" ySplit="3" topLeftCell="E4" activePane="bottomRight" state="frozenSplit"/>
      <selection activeCell="W14" sqref="W14"/>
      <selection pane="topRight" activeCell="W14" sqref="W14"/>
      <selection pane="bottomLeft" activeCell="W14" sqref="W14"/>
      <selection pane="bottomRight" activeCell="G7" sqref="G7"/>
    </sheetView>
  </sheetViews>
  <sheetFormatPr defaultColWidth="9.140625" defaultRowHeight="12.75" x14ac:dyDescent="0.2"/>
  <cols>
    <col min="1" max="1" width="5.140625" style="35" customWidth="1"/>
    <col min="2" max="3" width="26.42578125" style="36" customWidth="1"/>
    <col min="4" max="4" width="10.28515625" style="90" customWidth="1"/>
    <col min="5" max="5" width="10.85546875" style="4" customWidth="1"/>
    <col min="6" max="6" width="10.85546875" style="4" hidden="1" customWidth="1"/>
    <col min="7" max="7" width="38" style="37" customWidth="1"/>
    <col min="8" max="16384" width="9.140625" style="37"/>
  </cols>
  <sheetData>
    <row r="1" spans="1:7" customFormat="1" ht="27" customHeight="1" x14ac:dyDescent="0.2">
      <c r="A1" s="205" t="s">
        <v>367</v>
      </c>
      <c r="B1" s="205"/>
      <c r="C1" s="205"/>
      <c r="D1" s="205"/>
      <c r="E1" s="205"/>
      <c r="F1" s="161"/>
    </row>
    <row r="2" spans="1:7" customFormat="1" x14ac:dyDescent="0.2">
      <c r="A2" s="214" t="s">
        <v>0</v>
      </c>
      <c r="B2" s="216" t="s">
        <v>1</v>
      </c>
      <c r="C2" s="212" t="s">
        <v>394</v>
      </c>
      <c r="D2" s="210" t="s">
        <v>2</v>
      </c>
      <c r="E2" s="158"/>
      <c r="F2" s="163"/>
      <c r="G2" s="166" t="s">
        <v>395</v>
      </c>
    </row>
    <row r="3" spans="1:7" customFormat="1" x14ac:dyDescent="0.2">
      <c r="A3" s="215"/>
      <c r="B3" s="217"/>
      <c r="C3" s="213"/>
      <c r="D3" s="211"/>
      <c r="E3" s="140">
        <v>2024</v>
      </c>
      <c r="F3" s="160">
        <v>2030</v>
      </c>
    </row>
    <row r="4" spans="1:7" customFormat="1" ht="25.5" x14ac:dyDescent="0.2">
      <c r="A4" s="65" t="s">
        <v>15</v>
      </c>
      <c r="B4" s="61" t="s">
        <v>51</v>
      </c>
      <c r="C4" s="170" t="s">
        <v>405</v>
      </c>
      <c r="D4" s="89"/>
      <c r="E4" s="66"/>
      <c r="F4" s="67"/>
      <c r="G4" s="168" t="s">
        <v>397</v>
      </c>
    </row>
    <row r="5" spans="1:7" customFormat="1" x14ac:dyDescent="0.2">
      <c r="A5" s="40" t="s">
        <v>52</v>
      </c>
      <c r="B5" s="3" t="s">
        <v>53</v>
      </c>
      <c r="C5" s="3" t="s">
        <v>406</v>
      </c>
      <c r="D5" s="86" t="s">
        <v>6</v>
      </c>
      <c r="E5" s="4">
        <f>'[1]ÜDM sahələr üzrə'!AI260</f>
        <v>13949.2</v>
      </c>
      <c r="F5" s="5">
        <f>'[1]ÜDM sahələr üzrə'!AO260</f>
        <v>17857.0379599552</v>
      </c>
    </row>
    <row r="6" spans="1:7" customFormat="1" x14ac:dyDescent="0.2">
      <c r="A6" s="40" t="s">
        <v>54</v>
      </c>
      <c r="B6" s="3" t="s">
        <v>55</v>
      </c>
      <c r="C6" s="3" t="s">
        <v>407</v>
      </c>
      <c r="D6" s="86" t="s">
        <v>6</v>
      </c>
      <c r="E6" s="4">
        <f>'[1]ÜDM sahələr üzrə'!AI261</f>
        <v>6802.1</v>
      </c>
      <c r="F6" s="5">
        <f>'[1]ÜDM sahələr üzrə'!AO261</f>
        <v>8707.6934811610172</v>
      </c>
    </row>
    <row r="7" spans="1:7" customFormat="1" x14ac:dyDescent="0.2">
      <c r="A7" s="40" t="s">
        <v>56</v>
      </c>
      <c r="B7" s="3" t="s">
        <v>57</v>
      </c>
      <c r="C7" s="3" t="s">
        <v>408</v>
      </c>
      <c r="D7" s="86" t="s">
        <v>6</v>
      </c>
      <c r="E7" s="4">
        <f>'[1]ÜDM sahələr üzrə'!AI262</f>
        <v>7147.1</v>
      </c>
      <c r="F7" s="5">
        <f>'[1]ÜDM sahələr üzrə'!AO262</f>
        <v>9149.3444787941826</v>
      </c>
    </row>
    <row r="8" spans="1:7" customFormat="1" x14ac:dyDescent="0.2">
      <c r="A8" s="40"/>
      <c r="B8" s="3" t="s">
        <v>58</v>
      </c>
      <c r="C8" s="3" t="s">
        <v>409</v>
      </c>
      <c r="D8" s="86" t="s">
        <v>4</v>
      </c>
      <c r="E8" s="4">
        <f>'[1]ÜDM sahələr üzrə'!AI263</f>
        <v>51.236630057637711</v>
      </c>
      <c r="F8" s="5">
        <f>'[1]ÜDM sahələr üzrə'!AO263</f>
        <v>51.236630057637711</v>
      </c>
    </row>
    <row r="9" spans="1:7" customFormat="1" x14ac:dyDescent="0.2">
      <c r="A9" s="40"/>
      <c r="B9" s="2" t="s">
        <v>7</v>
      </c>
      <c r="C9" s="2" t="s">
        <v>398</v>
      </c>
      <c r="D9" s="86" t="s">
        <v>4</v>
      </c>
      <c r="E9" s="4">
        <f>'[1]ÜDM sahələr üzrə'!AI264</f>
        <v>1.4</v>
      </c>
      <c r="F9" s="5">
        <f>'[1]ÜDM sahələr üzrə'!AO264</f>
        <v>1.0872394224465143</v>
      </c>
    </row>
    <row r="10" spans="1:7" customFormat="1" x14ac:dyDescent="0.2">
      <c r="A10" s="41"/>
      <c r="B10" s="7" t="s">
        <v>45</v>
      </c>
      <c r="C10" s="7" t="s">
        <v>401</v>
      </c>
      <c r="D10" s="87" t="s">
        <v>4</v>
      </c>
      <c r="E10" s="9">
        <f>'[1]ÜDM sahələr üzrə'!AI265</f>
        <v>3.8808873963505732</v>
      </c>
      <c r="F10" s="10">
        <f>'[1]ÜDM sahələr üzrə'!AO265</f>
        <v>1.7186531556838247</v>
      </c>
    </row>
    <row r="11" spans="1:7" customFormat="1" x14ac:dyDescent="0.2">
      <c r="A11" s="62" t="s">
        <v>16</v>
      </c>
      <c r="B11" s="68" t="s">
        <v>59</v>
      </c>
      <c r="C11" s="68" t="s">
        <v>59</v>
      </c>
      <c r="D11" s="89"/>
      <c r="E11" s="66"/>
      <c r="F11" s="67"/>
    </row>
    <row r="12" spans="1:7" customFormat="1" x14ac:dyDescent="0.2">
      <c r="A12" s="40" t="s">
        <v>52</v>
      </c>
      <c r="B12" s="3" t="s">
        <v>53</v>
      </c>
      <c r="C12" s="3" t="s">
        <v>406</v>
      </c>
      <c r="D12" s="86" t="s">
        <v>6</v>
      </c>
      <c r="E12" s="4">
        <f>'[1]ÜDM sahələr üzrə'!AI25</f>
        <v>41179.5</v>
      </c>
      <c r="F12" s="5">
        <f>'[1]ÜDM sahələr üzrə'!AO25</f>
        <v>34261.719587527085</v>
      </c>
    </row>
    <row r="13" spans="1:7" customFormat="1" x14ac:dyDescent="0.2">
      <c r="A13" s="40" t="s">
        <v>54</v>
      </c>
      <c r="B13" s="3" t="s">
        <v>55</v>
      </c>
      <c r="C13" s="3" t="s">
        <v>407</v>
      </c>
      <c r="D13" s="86" t="s">
        <v>6</v>
      </c>
      <c r="E13" s="4">
        <f>'[1]ÜDM sahələr üzrə'!AI26</f>
        <v>4043.5</v>
      </c>
      <c r="F13" s="5">
        <f>'[1]ÜDM sahələr üzrə'!AO26</f>
        <v>5051.9807740994038</v>
      </c>
    </row>
    <row r="14" spans="1:7" customFormat="1" x14ac:dyDescent="0.2">
      <c r="A14" s="40" t="s">
        <v>56</v>
      </c>
      <c r="B14" s="3" t="s">
        <v>57</v>
      </c>
      <c r="C14" s="3" t="s">
        <v>408</v>
      </c>
      <c r="D14" s="86" t="s">
        <v>6</v>
      </c>
      <c r="E14" s="4">
        <f>'[1]ÜDM sahələr üzrə'!AI27</f>
        <v>37136</v>
      </c>
      <c r="F14" s="5">
        <f>'[1]ÜDM sahələr üzrə'!AO27</f>
        <v>29209.738813427681</v>
      </c>
    </row>
    <row r="15" spans="1:7" customFormat="1" x14ac:dyDescent="0.2">
      <c r="A15" s="40"/>
      <c r="B15" s="3" t="s">
        <v>58</v>
      </c>
      <c r="C15" s="3" t="s">
        <v>409</v>
      </c>
      <c r="D15" s="86" t="s">
        <v>4</v>
      </c>
      <c r="E15" s="4">
        <f>'[1]ÜDM sahələr üzrə'!AI28</f>
        <v>90.180793841595943</v>
      </c>
      <c r="F15" s="5">
        <f>'[1]ÜDM sahələr üzrə'!AO28</f>
        <v>85.254736671364952</v>
      </c>
    </row>
    <row r="16" spans="1:7" customFormat="1" x14ac:dyDescent="0.2">
      <c r="A16" s="40"/>
      <c r="B16" s="2" t="s">
        <v>7</v>
      </c>
      <c r="C16" s="2" t="s">
        <v>398</v>
      </c>
      <c r="D16" s="86" t="s">
        <v>4</v>
      </c>
      <c r="E16" s="4">
        <f>'[1]ÜDM sahələr üzrə'!AI29</f>
        <v>0.81941832132557124</v>
      </c>
      <c r="F16" s="5">
        <f>'[1]ÜDM sahələr üzrə'!AO29</f>
        <v>-1.6208315536881628</v>
      </c>
    </row>
    <row r="17" spans="1:7" customFormat="1" x14ac:dyDescent="0.2">
      <c r="A17" s="41"/>
      <c r="B17" s="7" t="s">
        <v>45</v>
      </c>
      <c r="C17" s="7" t="s">
        <v>401</v>
      </c>
      <c r="D17" s="87" t="s">
        <v>4</v>
      </c>
      <c r="E17" s="9">
        <f>'[1]ÜDM sahələr üzrə'!AI30</f>
        <v>-9.9346188438720446</v>
      </c>
      <c r="F17" s="10">
        <f>'[1]ÜDM sahələr üzrə'!AO30</f>
        <v>0.78378694563032525</v>
      </c>
    </row>
    <row r="18" spans="1:7" customFormat="1" hidden="1" x14ac:dyDescent="0.2">
      <c r="A18" s="42" t="s">
        <v>21</v>
      </c>
      <c r="B18" s="24" t="s">
        <v>60</v>
      </c>
      <c r="C18" s="171" t="s">
        <v>410</v>
      </c>
      <c r="D18" s="91"/>
      <c r="E18" s="17"/>
      <c r="F18" s="18"/>
      <c r="G18" s="168" t="s">
        <v>397</v>
      </c>
    </row>
    <row r="19" spans="1:7" customFormat="1" hidden="1" x14ac:dyDescent="0.2">
      <c r="A19" s="40" t="s">
        <v>52</v>
      </c>
      <c r="B19" s="3" t="s">
        <v>53</v>
      </c>
      <c r="C19" s="3" t="s">
        <v>406</v>
      </c>
      <c r="D19" s="86" t="s">
        <v>6</v>
      </c>
      <c r="E19" s="4">
        <f>'[1]ÜDM sahələr üzrə'!AI33</f>
        <v>38009.599999999999</v>
      </c>
      <c r="F19" s="5">
        <f>'[1]ÜDM sahələr üzrə'!AO33</f>
        <v>27258.693618393336</v>
      </c>
    </row>
    <row r="20" spans="1:7" customFormat="1" hidden="1" x14ac:dyDescent="0.2">
      <c r="A20" s="40" t="s">
        <v>54</v>
      </c>
      <c r="B20" s="3" t="s">
        <v>55</v>
      </c>
      <c r="C20" s="3" t="s">
        <v>407</v>
      </c>
      <c r="D20" s="86" t="s">
        <v>6</v>
      </c>
      <c r="E20" s="4">
        <f>'[1]ÜDM sahələr üzrə'!AI34</f>
        <v>2793.9000000000015</v>
      </c>
      <c r="F20" s="5">
        <f>'[1]ÜDM sahələr üzrə'!AO34</f>
        <v>2003.6533954692823</v>
      </c>
    </row>
    <row r="21" spans="1:7" customFormat="1" hidden="1" x14ac:dyDescent="0.2">
      <c r="A21" s="40" t="s">
        <v>56</v>
      </c>
      <c r="B21" s="3" t="s">
        <v>57</v>
      </c>
      <c r="C21" s="3" t="s">
        <v>408</v>
      </c>
      <c r="D21" s="86" t="s">
        <v>6</v>
      </c>
      <c r="E21" s="4">
        <f>'[1]ÜDM sahələr üzrə'!AI35</f>
        <v>35215.699999999997</v>
      </c>
      <c r="F21" s="5">
        <f>'[1]ÜDM sahələr üzrə'!AO35</f>
        <v>25255.040222924054</v>
      </c>
    </row>
    <row r="22" spans="1:7" customFormat="1" hidden="1" x14ac:dyDescent="0.2">
      <c r="A22" s="40"/>
      <c r="B22" s="3" t="s">
        <v>58</v>
      </c>
      <c r="C22" s="3" t="s">
        <v>409</v>
      </c>
      <c r="D22" s="86" t="s">
        <v>4</v>
      </c>
      <c r="E22" s="4">
        <f>'[1]ÜDM sahələr üzrə'!AI36</f>
        <v>92.649488550260983</v>
      </c>
      <c r="F22" s="5">
        <f>'[1]ÜDM sahələr üzrə'!AO36</f>
        <v>92.649488550260983</v>
      </c>
    </row>
    <row r="23" spans="1:7" customFormat="1" hidden="1" x14ac:dyDescent="0.2">
      <c r="A23" s="40"/>
      <c r="B23" s="2" t="s">
        <v>7</v>
      </c>
      <c r="C23" s="2" t="s">
        <v>398</v>
      </c>
      <c r="D23" s="86" t="s">
        <v>4</v>
      </c>
      <c r="E23" s="4">
        <f>'[1]ÜDM sahələr üzrə'!AI37</f>
        <v>1.095</v>
      </c>
      <c r="F23" s="5">
        <f>'[1]ÜDM sahələr üzrə'!AO37</f>
        <v>-0.68427470199206297</v>
      </c>
    </row>
    <row r="24" spans="1:7" customFormat="1" hidden="1" x14ac:dyDescent="0.2">
      <c r="A24" s="41"/>
      <c r="B24" s="7" t="s">
        <v>45</v>
      </c>
      <c r="C24" s="7" t="s">
        <v>401</v>
      </c>
      <c r="D24" s="87" t="s">
        <v>4</v>
      </c>
      <c r="E24" s="9">
        <f>'[1]ÜDM sahələr üzrə'!AI38</f>
        <v>-10.878353995949382</v>
      </c>
      <c r="F24" s="10">
        <f>'[1]ÜDM sahələr üzrə'!AO38</f>
        <v>0.2850538659336479</v>
      </c>
    </row>
    <row r="25" spans="1:7" customFormat="1" hidden="1" x14ac:dyDescent="0.2">
      <c r="A25" s="42" t="s">
        <v>22</v>
      </c>
      <c r="B25" s="24" t="s">
        <v>61</v>
      </c>
      <c r="C25" s="24" t="s">
        <v>61</v>
      </c>
      <c r="D25" s="91"/>
      <c r="E25" s="17"/>
      <c r="F25" s="18"/>
    </row>
    <row r="26" spans="1:7" customFormat="1" hidden="1" x14ac:dyDescent="0.2">
      <c r="A26" s="40" t="s">
        <v>52</v>
      </c>
      <c r="B26" s="3" t="s">
        <v>53</v>
      </c>
      <c r="C26" s="3" t="s">
        <v>406</v>
      </c>
      <c r="D26" s="86" t="s">
        <v>6</v>
      </c>
      <c r="E26" s="4">
        <f>'[1]ÜDM sahələr üzrə'!AI40</f>
        <v>382.4</v>
      </c>
      <c r="F26" s="5">
        <f>'[1]ÜDM sahələr üzrə'!AO40</f>
        <v>2595.7404572063647</v>
      </c>
    </row>
    <row r="27" spans="1:7" customFormat="1" hidden="1" x14ac:dyDescent="0.2">
      <c r="A27" s="40" t="s">
        <v>54</v>
      </c>
      <c r="B27" s="3" t="s">
        <v>55</v>
      </c>
      <c r="C27" s="3" t="s">
        <v>407</v>
      </c>
      <c r="D27" s="86" t="s">
        <v>6</v>
      </c>
      <c r="E27" s="4">
        <f>'[1]ÜDM sahələr üzrə'!AI41</f>
        <v>199.59999999999997</v>
      </c>
      <c r="F27" s="5">
        <f>'[1]ÜDM sahələr üzrə'!AO41</f>
        <v>1354.8896319518576</v>
      </c>
    </row>
    <row r="28" spans="1:7" customFormat="1" hidden="1" x14ac:dyDescent="0.2">
      <c r="A28" s="40" t="s">
        <v>56</v>
      </c>
      <c r="B28" s="3" t="s">
        <v>57</v>
      </c>
      <c r="C28" s="3" t="s">
        <v>408</v>
      </c>
      <c r="D28" s="86" t="s">
        <v>6</v>
      </c>
      <c r="E28" s="4">
        <f>'[1]ÜDM sahələr üzrə'!AI42</f>
        <v>182.8</v>
      </c>
      <c r="F28" s="5">
        <f>'[1]ÜDM sahələr üzrə'!AO42</f>
        <v>1240.8508252545071</v>
      </c>
    </row>
    <row r="29" spans="1:7" customFormat="1" hidden="1" x14ac:dyDescent="0.2">
      <c r="A29" s="40"/>
      <c r="B29" s="3" t="s">
        <v>58</v>
      </c>
      <c r="C29" s="3" t="s">
        <v>409</v>
      </c>
      <c r="D29" s="86" t="s">
        <v>4</v>
      </c>
      <c r="E29" s="4">
        <f>'[1]ÜDM sahələr üzrə'!AI43</f>
        <v>47.803347280334734</v>
      </c>
      <c r="F29" s="5">
        <f>'[1]ÜDM sahələr üzrə'!AO43</f>
        <v>47.803347280334734</v>
      </c>
    </row>
    <row r="30" spans="1:7" customFormat="1" hidden="1" x14ac:dyDescent="0.2">
      <c r="A30" s="40"/>
      <c r="B30" s="2" t="s">
        <v>7</v>
      </c>
      <c r="C30" s="2" t="s">
        <v>398</v>
      </c>
      <c r="D30" s="86" t="s">
        <v>4</v>
      </c>
      <c r="E30" s="4">
        <f>'[1]ÜDM sahələr üzrə'!AI44</f>
        <v>-11.2</v>
      </c>
      <c r="F30" s="5">
        <f>'[1]ÜDM sahələr üzrə'!AO44</f>
        <v>-11.316799695754469</v>
      </c>
    </row>
    <row r="31" spans="1:7" customFormat="1" hidden="1" x14ac:dyDescent="0.2">
      <c r="A31" s="41"/>
      <c r="B31" s="7" t="s">
        <v>45</v>
      </c>
      <c r="C31" s="7" t="s">
        <v>401</v>
      </c>
      <c r="D31" s="87" t="s">
        <v>4</v>
      </c>
      <c r="E31" s="9">
        <f>'[1]ÜDM sahələr üzrə'!AI45</f>
        <v>29.632151042730413</v>
      </c>
      <c r="F31" s="10">
        <f>'[1]ÜDM sahələr üzrə'!AO45</f>
        <v>0</v>
      </c>
    </row>
    <row r="32" spans="1:7" customFormat="1" ht="25.5" hidden="1" x14ac:dyDescent="0.2">
      <c r="A32" s="42" t="s">
        <v>62</v>
      </c>
      <c r="B32" s="24" t="s">
        <v>63</v>
      </c>
      <c r="C32" s="24" t="s">
        <v>63</v>
      </c>
      <c r="D32" s="91"/>
      <c r="E32" s="17"/>
      <c r="F32" s="18"/>
    </row>
    <row r="33" spans="1:7" customFormat="1" hidden="1" x14ac:dyDescent="0.2">
      <c r="A33" s="40" t="s">
        <v>52</v>
      </c>
      <c r="B33" s="3" t="s">
        <v>53</v>
      </c>
      <c r="C33" s="3" t="s">
        <v>406</v>
      </c>
      <c r="D33" s="86" t="s">
        <v>6</v>
      </c>
      <c r="E33" s="4">
        <f>'[1]ÜDM sahələr üzrə'!AI47</f>
        <v>256.7</v>
      </c>
      <c r="F33" s="5">
        <f>'[1]ÜDM sahələr üzrə'!AO47</f>
        <v>569.89594985438634</v>
      </c>
    </row>
    <row r="34" spans="1:7" customFormat="1" hidden="1" x14ac:dyDescent="0.2">
      <c r="A34" s="40" t="s">
        <v>54</v>
      </c>
      <c r="B34" s="3" t="s">
        <v>55</v>
      </c>
      <c r="C34" s="3" t="s">
        <v>407</v>
      </c>
      <c r="D34" s="86" t="s">
        <v>6</v>
      </c>
      <c r="E34" s="4">
        <f>'[1]ÜDM sahələr üzrə'!AI48</f>
        <v>144</v>
      </c>
      <c r="F34" s="5">
        <f>'[1]ÜDM sahələr üzrə'!AO48</f>
        <v>319.69231312439285</v>
      </c>
    </row>
    <row r="35" spans="1:7" customFormat="1" hidden="1" x14ac:dyDescent="0.2">
      <c r="A35" s="40" t="s">
        <v>56</v>
      </c>
      <c r="B35" s="3" t="s">
        <v>57</v>
      </c>
      <c r="C35" s="3" t="s">
        <v>408</v>
      </c>
      <c r="D35" s="86" t="s">
        <v>6</v>
      </c>
      <c r="E35" s="4">
        <f>'[1]ÜDM sahələr üzrə'!AI49</f>
        <v>112.7</v>
      </c>
      <c r="F35" s="5">
        <f>'[1]ÜDM sahələr üzrə'!AO49</f>
        <v>250.20363672999352</v>
      </c>
    </row>
    <row r="36" spans="1:7" customFormat="1" hidden="1" x14ac:dyDescent="0.2">
      <c r="A36" s="40"/>
      <c r="B36" s="3" t="s">
        <v>58</v>
      </c>
      <c r="C36" s="3" t="s">
        <v>409</v>
      </c>
      <c r="D36" s="86" t="s">
        <v>4</v>
      </c>
      <c r="E36" s="4">
        <f>'[1]ÜDM sahələr üzrə'!AI50</f>
        <v>43.903389170237631</v>
      </c>
      <c r="F36" s="5">
        <f>'[1]ÜDM sahələr üzrə'!AO50</f>
        <v>43.903389170237631</v>
      </c>
    </row>
    <row r="37" spans="1:7" customFormat="1" hidden="1" x14ac:dyDescent="0.2">
      <c r="A37" s="40"/>
      <c r="B37" s="2" t="s">
        <v>7</v>
      </c>
      <c r="C37" s="2" t="s">
        <v>398</v>
      </c>
      <c r="D37" s="86" t="s">
        <v>4</v>
      </c>
      <c r="E37" s="4">
        <f>'[1]ÜDM sahələr üzrə'!AI51</f>
        <v>35.700000000000003</v>
      </c>
      <c r="F37" s="5">
        <f>'[1]ÜDM sahələr üzrə'!AO51</f>
        <v>7.8938795814476208</v>
      </c>
    </row>
    <row r="38" spans="1:7" customFormat="1" hidden="1" x14ac:dyDescent="0.2">
      <c r="A38" s="41"/>
      <c r="B38" s="7" t="s">
        <v>45</v>
      </c>
      <c r="C38" s="7" t="s">
        <v>401</v>
      </c>
      <c r="D38" s="87" t="s">
        <v>4</v>
      </c>
      <c r="E38" s="9">
        <f>'[1]ÜDM sahələr üzrə'!AI52</f>
        <v>-18.776677303054171</v>
      </c>
      <c r="F38" s="10">
        <f>'[1]ÜDM sahələr üzrə'!AO52</f>
        <v>7.2035648256658931</v>
      </c>
    </row>
    <row r="39" spans="1:7" customFormat="1" ht="38.25" hidden="1" x14ac:dyDescent="0.2">
      <c r="A39" s="42" t="s">
        <v>64</v>
      </c>
      <c r="B39" s="24" t="s">
        <v>65</v>
      </c>
      <c r="C39" s="24" t="s">
        <v>65</v>
      </c>
      <c r="D39" s="91"/>
      <c r="E39" s="17"/>
      <c r="F39" s="18"/>
      <c r="G39" s="168" t="s">
        <v>411</v>
      </c>
    </row>
    <row r="40" spans="1:7" customFormat="1" hidden="1" x14ac:dyDescent="0.2">
      <c r="A40" s="40" t="s">
        <v>52</v>
      </c>
      <c r="B40" s="3" t="s">
        <v>53</v>
      </c>
      <c r="C40" s="3" t="s">
        <v>406</v>
      </c>
      <c r="D40" s="86" t="s">
        <v>6</v>
      </c>
      <c r="E40" s="4">
        <f>'[1]ÜDM sahələr üzrə'!AI54</f>
        <v>2530.8000000000002</v>
      </c>
      <c r="F40" s="5">
        <f>'[1]ÜDM sahələr üzrə'!AO54</f>
        <v>3837.3895620729977</v>
      </c>
    </row>
    <row r="41" spans="1:7" customFormat="1" hidden="1" x14ac:dyDescent="0.2">
      <c r="A41" s="40" t="s">
        <v>54</v>
      </c>
      <c r="B41" s="3" t="s">
        <v>55</v>
      </c>
      <c r="C41" s="3" t="s">
        <v>407</v>
      </c>
      <c r="D41" s="86" t="s">
        <v>6</v>
      </c>
      <c r="E41" s="4">
        <f>'[1]ÜDM sahələr üzrə'!AI55</f>
        <v>906.00000000000023</v>
      </c>
      <c r="F41" s="5">
        <f>'[1]ÜDM sahələr üzrə'!AO55</f>
        <v>1373.7454335538714</v>
      </c>
    </row>
    <row r="42" spans="1:7" customFormat="1" hidden="1" x14ac:dyDescent="0.2">
      <c r="A42" s="40" t="s">
        <v>56</v>
      </c>
      <c r="B42" s="3" t="s">
        <v>57</v>
      </c>
      <c r="C42" s="3" t="s">
        <v>408</v>
      </c>
      <c r="D42" s="86" t="s">
        <v>6</v>
      </c>
      <c r="E42" s="4">
        <f>'[1]ÜDM sahələr üzrə'!AI56</f>
        <v>1624.8</v>
      </c>
      <c r="F42" s="5">
        <f>'[1]ÜDM sahələr üzrə'!AO56</f>
        <v>2463.6441285191263</v>
      </c>
    </row>
    <row r="43" spans="1:7" customFormat="1" hidden="1" x14ac:dyDescent="0.2">
      <c r="A43" s="40"/>
      <c r="B43" s="3" t="s">
        <v>58</v>
      </c>
      <c r="C43" s="3" t="s">
        <v>409</v>
      </c>
      <c r="D43" s="86" t="s">
        <v>4</v>
      </c>
      <c r="E43" s="4">
        <f>'[1]ÜDM sahələr üzrə'!AI57</f>
        <v>64.201043148411557</v>
      </c>
      <c r="F43" s="5">
        <f>'[1]ÜDM sahələr üzrə'!AO57</f>
        <v>64.201043148411557</v>
      </c>
    </row>
    <row r="44" spans="1:7" customFormat="1" hidden="1" x14ac:dyDescent="0.2">
      <c r="A44" s="40"/>
      <c r="B44" s="2" t="s">
        <v>7</v>
      </c>
      <c r="C44" s="2" t="s">
        <v>398</v>
      </c>
      <c r="D44" s="86" t="s">
        <v>4</v>
      </c>
      <c r="E44" s="4">
        <f>'[1]ÜDM sahələr üzrə'!AI58</f>
        <v>-7.2</v>
      </c>
      <c r="F44" s="5">
        <f>'[1]ÜDM sahələr üzrə'!AO58</f>
        <v>-6.5407117730243352</v>
      </c>
    </row>
    <row r="45" spans="1:7" customFormat="1" hidden="1" x14ac:dyDescent="0.2">
      <c r="A45" s="41"/>
      <c r="B45" s="7" t="s">
        <v>45</v>
      </c>
      <c r="C45" s="7" t="s">
        <v>401</v>
      </c>
      <c r="D45" s="87" t="s">
        <v>4</v>
      </c>
      <c r="E45" s="9">
        <f>'[1]ÜDM sahələr üzrə'!AI59</f>
        <v>12.966131296568634</v>
      </c>
      <c r="F45" s="10">
        <f>'[1]ÜDM sahələr üzrə'!AO59</f>
        <v>5.9595061511528549</v>
      </c>
    </row>
    <row r="46" spans="1:7" customFormat="1" x14ac:dyDescent="0.2">
      <c r="A46" s="62" t="s">
        <v>8</v>
      </c>
      <c r="B46" s="68" t="s">
        <v>66</v>
      </c>
      <c r="C46" s="68" t="s">
        <v>66</v>
      </c>
      <c r="D46" s="89"/>
      <c r="E46" s="137"/>
      <c r="F46" s="138"/>
    </row>
    <row r="47" spans="1:7" customFormat="1" x14ac:dyDescent="0.2">
      <c r="A47" s="40" t="s">
        <v>52</v>
      </c>
      <c r="B47" s="3" t="s">
        <v>53</v>
      </c>
      <c r="C47" s="3" t="s">
        <v>406</v>
      </c>
      <c r="D47" s="86" t="s">
        <v>6</v>
      </c>
      <c r="E47" s="4">
        <f>'[1]ÜDM sahələr üzrə'!AI61</f>
        <v>19114.600000000002</v>
      </c>
      <c r="F47" s="5">
        <f>'[1]ÜDM sahələr üzrə'!AO61</f>
        <v>32994.445954502888</v>
      </c>
    </row>
    <row r="48" spans="1:7" customFormat="1" x14ac:dyDescent="0.2">
      <c r="A48" s="40" t="s">
        <v>54</v>
      </c>
      <c r="B48" s="3" t="s">
        <v>55</v>
      </c>
      <c r="C48" s="3" t="s">
        <v>407</v>
      </c>
      <c r="D48" s="86" t="s">
        <v>6</v>
      </c>
      <c r="E48" s="4">
        <f>'[1]ÜDM sahələr üzrə'!AI62</f>
        <v>12496.590100000001</v>
      </c>
      <c r="F48" s="5">
        <f>'[1]ÜDM sahələr üzrə'!AO62</f>
        <v>21249.718206177175</v>
      </c>
    </row>
    <row r="49" spans="1:6" customFormat="1" x14ac:dyDescent="0.2">
      <c r="A49" s="40" t="s">
        <v>56</v>
      </c>
      <c r="B49" s="3" t="s">
        <v>57</v>
      </c>
      <c r="C49" s="3" t="s">
        <v>408</v>
      </c>
      <c r="D49" s="86" t="s">
        <v>6</v>
      </c>
      <c r="E49" s="4">
        <f>'[1]ÜDM sahələr üzrə'!AI63</f>
        <v>6618.0099</v>
      </c>
      <c r="F49" s="5">
        <f>'[1]ÜDM sahələr üzrə'!AO63</f>
        <v>11744.727748325715</v>
      </c>
    </row>
    <row r="50" spans="1:6" customFormat="1" x14ac:dyDescent="0.2">
      <c r="A50" s="40"/>
      <c r="B50" s="3" t="s">
        <v>58</v>
      </c>
      <c r="C50" s="3" t="s">
        <v>409</v>
      </c>
      <c r="D50" s="86" t="s">
        <v>4</v>
      </c>
      <c r="E50" s="4">
        <f>'[1]ÜDM sahələr üzrə'!AI64</f>
        <v>34.622800895650442</v>
      </c>
      <c r="F50" s="5">
        <f>'[1]ÜDM sahələr üzrə'!AO64</f>
        <v>35.596075062211682</v>
      </c>
    </row>
    <row r="51" spans="1:6" customFormat="1" x14ac:dyDescent="0.2">
      <c r="A51" s="40"/>
      <c r="B51" s="2" t="s">
        <v>7</v>
      </c>
      <c r="C51" s="2" t="s">
        <v>398</v>
      </c>
      <c r="D51" s="86" t="s">
        <v>4</v>
      </c>
      <c r="E51" s="4">
        <f>'[1]ÜDM sahələr üzrə'!AI65</f>
        <v>2.2481459151598528</v>
      </c>
      <c r="F51" s="5">
        <f>'[1]ÜDM sahələr üzrə'!AO65</f>
        <v>2.6268305489157768</v>
      </c>
    </row>
    <row r="52" spans="1:6" customFormat="1" x14ac:dyDescent="0.2">
      <c r="A52" s="41"/>
      <c r="B52" s="7" t="s">
        <v>45</v>
      </c>
      <c r="C52" s="7" t="s">
        <v>401</v>
      </c>
      <c r="D52" s="87" t="s">
        <v>4</v>
      </c>
      <c r="E52" s="9">
        <f>'[1]ÜDM sahələr üzrə'!AI66</f>
        <v>2.3960552902408949</v>
      </c>
      <c r="F52" s="10">
        <f>'[1]ÜDM sahələr üzrə'!AO66</f>
        <v>3.7428679210158862</v>
      </c>
    </row>
    <row r="53" spans="1:6" customFormat="1" hidden="1" x14ac:dyDescent="0.2">
      <c r="A53" s="43" t="s">
        <v>9</v>
      </c>
      <c r="B53" s="25" t="s">
        <v>67</v>
      </c>
      <c r="C53" s="25" t="s">
        <v>67</v>
      </c>
      <c r="D53" s="92"/>
      <c r="E53" s="17"/>
      <c r="F53" s="18"/>
    </row>
    <row r="54" spans="1:6" customFormat="1" hidden="1" x14ac:dyDescent="0.2">
      <c r="A54" s="44" t="s">
        <v>52</v>
      </c>
      <c r="B54" s="26" t="s">
        <v>53</v>
      </c>
      <c r="C54" s="26" t="s">
        <v>406</v>
      </c>
      <c r="D54" s="93" t="s">
        <v>6</v>
      </c>
      <c r="E54" s="4">
        <f>'[1]ÜDM sahələr üzrə'!AI78</f>
        <v>4637.3999999999996</v>
      </c>
      <c r="F54" s="5">
        <f>'[1]ÜDM sahələr üzrə'!AO78</f>
        <v>10422.468083482587</v>
      </c>
    </row>
    <row r="55" spans="1:6" customFormat="1" hidden="1" x14ac:dyDescent="0.2">
      <c r="A55" s="44" t="s">
        <v>54</v>
      </c>
      <c r="B55" s="26" t="s">
        <v>55</v>
      </c>
      <c r="C55" s="26" t="s">
        <v>407</v>
      </c>
      <c r="D55" s="93" t="s">
        <v>6</v>
      </c>
      <c r="E55" s="4">
        <f>'[1]ÜDM sahələr üzrə'!AI79</f>
        <v>3431.7</v>
      </c>
      <c r="F55" s="5">
        <f>'[1]ÜDM sahələr üzrə'!AO79</f>
        <v>7712.6803213195308</v>
      </c>
    </row>
    <row r="56" spans="1:6" customFormat="1" hidden="1" x14ac:dyDescent="0.2">
      <c r="A56" s="44" t="s">
        <v>56</v>
      </c>
      <c r="B56" s="26" t="s">
        <v>57</v>
      </c>
      <c r="C56" s="26" t="s">
        <v>408</v>
      </c>
      <c r="D56" s="93" t="s">
        <v>6</v>
      </c>
      <c r="E56" s="4">
        <f>'[1]ÜDM sahələr üzrə'!AI80</f>
        <v>1205.7</v>
      </c>
      <c r="F56" s="5">
        <f>'[1]ÜDM sahələr üzrə'!AO80</f>
        <v>2709.787762163056</v>
      </c>
    </row>
    <row r="57" spans="1:6" customFormat="1" hidden="1" x14ac:dyDescent="0.2">
      <c r="A57" s="44"/>
      <c r="B57" s="26" t="s">
        <v>58</v>
      </c>
      <c r="C57" s="26" t="s">
        <v>409</v>
      </c>
      <c r="D57" s="93" t="s">
        <v>4</v>
      </c>
      <c r="E57" s="4">
        <f>'[1]ÜDM sahələr üzrə'!AI81</f>
        <v>25.999482468624663</v>
      </c>
      <c r="F57" s="5">
        <f>'[1]ÜDM sahələr üzrə'!AO81</f>
        <v>25.999482468624663</v>
      </c>
    </row>
    <row r="58" spans="1:6" customFormat="1" hidden="1" x14ac:dyDescent="0.2">
      <c r="A58" s="44"/>
      <c r="B58" s="26" t="s">
        <v>7</v>
      </c>
      <c r="C58" s="26" t="s">
        <v>398</v>
      </c>
      <c r="D58" s="93" t="s">
        <v>4</v>
      </c>
      <c r="E58" s="4">
        <f>'[1]ÜDM sahələr üzrə'!AI82</f>
        <v>10.46</v>
      </c>
      <c r="F58" s="5">
        <f>'[1]ÜDM sahələr üzrə'!AO82</f>
        <v>8.6138930707332548</v>
      </c>
    </row>
    <row r="59" spans="1:6" customFormat="1" hidden="1" x14ac:dyDescent="0.2">
      <c r="A59" s="45"/>
      <c r="B59" s="29" t="s">
        <v>45</v>
      </c>
      <c r="C59" s="29" t="s">
        <v>401</v>
      </c>
      <c r="D59" s="94" t="s">
        <v>4</v>
      </c>
      <c r="E59" s="9">
        <f>'[1]ÜDM sahələr üzrə'!AI83</f>
        <v>-7.6886485252481691</v>
      </c>
      <c r="F59" s="10">
        <f>'[1]ÜDM sahələr üzrə'!AO83</f>
        <v>3.9366260789361718</v>
      </c>
    </row>
    <row r="60" spans="1:6" customFormat="1" hidden="1" x14ac:dyDescent="0.2">
      <c r="A60" s="43" t="s">
        <v>10</v>
      </c>
      <c r="B60" s="25" t="s">
        <v>68</v>
      </c>
      <c r="C60" s="25" t="s">
        <v>68</v>
      </c>
      <c r="D60" s="92"/>
      <c r="E60" s="17"/>
      <c r="F60" s="18"/>
    </row>
    <row r="61" spans="1:6" customFormat="1" hidden="1" x14ac:dyDescent="0.2">
      <c r="A61" s="44" t="s">
        <v>52</v>
      </c>
      <c r="B61" s="26" t="s">
        <v>53</v>
      </c>
      <c r="C61" s="26" t="s">
        <v>406</v>
      </c>
      <c r="D61" s="93" t="s">
        <v>6</v>
      </c>
      <c r="E61" s="4">
        <f>'[1]ÜDM sahələr üzrə'!AI85</f>
        <v>785</v>
      </c>
      <c r="F61" s="5">
        <f>'[1]ÜDM sahələr üzrə'!AO85</f>
        <v>1203.1788349500816</v>
      </c>
    </row>
    <row r="62" spans="1:6" customFormat="1" hidden="1" x14ac:dyDescent="0.2">
      <c r="A62" s="44" t="s">
        <v>54</v>
      </c>
      <c r="B62" s="26" t="s">
        <v>55</v>
      </c>
      <c r="C62" s="26" t="s">
        <v>407</v>
      </c>
      <c r="D62" s="93" t="s">
        <v>6</v>
      </c>
      <c r="E62" s="4">
        <f>'[1]ÜDM sahələr üzrə'!AI86</f>
        <v>475.66</v>
      </c>
      <c r="F62" s="5">
        <f>'[1]ÜDM sahələr üzrə'!AO86</f>
        <v>729.04973838516662</v>
      </c>
    </row>
    <row r="63" spans="1:6" customFormat="1" hidden="1" x14ac:dyDescent="0.2">
      <c r="A63" s="44" t="s">
        <v>56</v>
      </c>
      <c r="B63" s="26" t="s">
        <v>57</v>
      </c>
      <c r="C63" s="26" t="s">
        <v>408</v>
      </c>
      <c r="D63" s="93" t="s">
        <v>6</v>
      </c>
      <c r="E63" s="4">
        <f>'[1]ÜDM sahələr üzrə'!AI87</f>
        <v>309.33999999999997</v>
      </c>
      <c r="F63" s="5">
        <f>'[1]ÜDM sahələr üzrə'!AO87</f>
        <v>474.12909656491496</v>
      </c>
    </row>
    <row r="64" spans="1:6" customFormat="1" hidden="1" x14ac:dyDescent="0.2">
      <c r="A64" s="44"/>
      <c r="B64" s="26" t="s">
        <v>58</v>
      </c>
      <c r="C64" s="26" t="s">
        <v>409</v>
      </c>
      <c r="D64" s="93" t="s">
        <v>4</v>
      </c>
      <c r="E64" s="4">
        <f>'[1]ÜDM sahələr üzrə'!AI88</f>
        <v>39.406369426751588</v>
      </c>
      <c r="F64" s="5">
        <f>'[1]ÜDM sahələr üzrə'!AO88</f>
        <v>39.406369426751588</v>
      </c>
    </row>
    <row r="65" spans="1:7" customFormat="1" hidden="1" x14ac:dyDescent="0.2">
      <c r="A65" s="44"/>
      <c r="B65" s="26" t="s">
        <v>7</v>
      </c>
      <c r="C65" s="26" t="s">
        <v>398</v>
      </c>
      <c r="D65" s="93" t="s">
        <v>4</v>
      </c>
      <c r="E65" s="4">
        <f>'[1]ÜDM sahələr üzrə'!AI89</f>
        <v>15.7</v>
      </c>
      <c r="F65" s="5">
        <f>'[1]ÜDM sahələr üzrə'!AO89</f>
        <v>-4.6190821138629872</v>
      </c>
    </row>
    <row r="66" spans="1:7" customFormat="1" hidden="1" x14ac:dyDescent="0.2">
      <c r="A66" s="45"/>
      <c r="B66" s="29" t="s">
        <v>45</v>
      </c>
      <c r="C66" s="29" t="s">
        <v>401</v>
      </c>
      <c r="D66" s="94" t="s">
        <v>4</v>
      </c>
      <c r="E66" s="9">
        <f>'[1]ÜDM sahələr üzrə'!AI90</f>
        <v>-3.7359141344519458</v>
      </c>
      <c r="F66" s="10">
        <f>'[1]ÜDM sahələr üzrə'!AO90</f>
        <v>6.7873791898125972</v>
      </c>
    </row>
    <row r="67" spans="1:7" customFormat="1" hidden="1" x14ac:dyDescent="0.2">
      <c r="A67" s="43" t="s">
        <v>69</v>
      </c>
      <c r="B67" s="25" t="s">
        <v>70</v>
      </c>
      <c r="C67" s="25" t="s">
        <v>70</v>
      </c>
      <c r="D67" s="92"/>
      <c r="E67" s="17"/>
      <c r="F67" s="18"/>
    </row>
    <row r="68" spans="1:7" customFormat="1" hidden="1" x14ac:dyDescent="0.2">
      <c r="A68" s="44" t="s">
        <v>52</v>
      </c>
      <c r="B68" s="26" t="s">
        <v>53</v>
      </c>
      <c r="C68" s="26" t="s">
        <v>406</v>
      </c>
      <c r="D68" s="93" t="s">
        <v>6</v>
      </c>
      <c r="E68" s="4">
        <f>'[1]ÜDM sahələr üzrə'!AI92</f>
        <v>842.3</v>
      </c>
      <c r="F68" s="5">
        <f>'[1]ÜDM sahələr üzrə'!AO92</f>
        <v>1343.4160794538946</v>
      </c>
    </row>
    <row r="69" spans="1:7" customFormat="1" hidden="1" x14ac:dyDescent="0.2">
      <c r="A69" s="44" t="s">
        <v>54</v>
      </c>
      <c r="B69" s="26" t="s">
        <v>55</v>
      </c>
      <c r="C69" s="26" t="s">
        <v>407</v>
      </c>
      <c r="D69" s="93" t="s">
        <v>6</v>
      </c>
      <c r="E69" s="4">
        <f>'[1]ÜDM sahələr üzrə'!AI93</f>
        <v>485.99999999999994</v>
      </c>
      <c r="F69" s="5">
        <f>'[1]ÜDM sahələr üzrə'!AO93</f>
        <v>775.1397537867656</v>
      </c>
    </row>
    <row r="70" spans="1:7" customFormat="1" hidden="1" x14ac:dyDescent="0.2">
      <c r="A70" s="44" t="s">
        <v>56</v>
      </c>
      <c r="B70" s="26" t="s">
        <v>57</v>
      </c>
      <c r="C70" s="26" t="s">
        <v>408</v>
      </c>
      <c r="D70" s="93" t="s">
        <v>6</v>
      </c>
      <c r="E70" s="4">
        <f>'[1]ÜDM sahələr üzrə'!AI94</f>
        <v>356.3</v>
      </c>
      <c r="F70" s="5">
        <f>'[1]ÜDM sahələr üzrə'!AO94</f>
        <v>568.27632566712896</v>
      </c>
    </row>
    <row r="71" spans="1:7" customFormat="1" hidden="1" x14ac:dyDescent="0.2">
      <c r="A71" s="44"/>
      <c r="B71" s="26" t="s">
        <v>58</v>
      </c>
      <c r="C71" s="26" t="s">
        <v>409</v>
      </c>
      <c r="D71" s="93" t="s">
        <v>4</v>
      </c>
      <c r="E71" s="4">
        <f>'[1]ÜDM sahələr üzrə'!AI95</f>
        <v>42.300842930072427</v>
      </c>
      <c r="F71" s="5">
        <f>'[1]ÜDM sahələr üzrə'!AO95</f>
        <v>42.300842930072427</v>
      </c>
    </row>
    <row r="72" spans="1:7" customFormat="1" hidden="1" x14ac:dyDescent="0.2">
      <c r="A72" s="44"/>
      <c r="B72" s="26" t="s">
        <v>7</v>
      </c>
      <c r="C72" s="26" t="s">
        <v>398</v>
      </c>
      <c r="D72" s="93" t="s">
        <v>4</v>
      </c>
      <c r="E72" s="4">
        <f>'[1]ÜDM sahələr üzrə'!AI96</f>
        <v>4.0999999999999996</v>
      </c>
      <c r="F72" s="5">
        <f>'[1]ÜDM sahələr üzrə'!AO96</f>
        <v>-3.1501631941561783</v>
      </c>
    </row>
    <row r="73" spans="1:7" customFormat="1" hidden="1" x14ac:dyDescent="0.2">
      <c r="A73" s="45"/>
      <c r="B73" s="29" t="s">
        <v>45</v>
      </c>
      <c r="C73" s="29" t="s">
        <v>401</v>
      </c>
      <c r="D73" s="94" t="s">
        <v>4</v>
      </c>
      <c r="E73" s="9">
        <f>'[1]ÜDM sahələr üzrə'!AI97</f>
        <v>-14.731676404438431</v>
      </c>
      <c r="F73" s="10">
        <f>'[1]ÜDM sahələr üzrə'!AO97</f>
        <v>6.1096508988733689</v>
      </c>
    </row>
    <row r="74" spans="1:7" customFormat="1" ht="25.5" hidden="1" x14ac:dyDescent="0.2">
      <c r="A74" s="43" t="s">
        <v>71</v>
      </c>
      <c r="B74" s="25" t="s">
        <v>72</v>
      </c>
      <c r="C74" s="172" t="s">
        <v>412</v>
      </c>
      <c r="D74" s="92"/>
      <c r="E74" s="17"/>
      <c r="F74" s="18"/>
      <c r="G74" s="168" t="s">
        <v>397</v>
      </c>
    </row>
    <row r="75" spans="1:7" customFormat="1" hidden="1" x14ac:dyDescent="0.2">
      <c r="A75" s="44" t="s">
        <v>52</v>
      </c>
      <c r="B75" s="26" t="s">
        <v>53</v>
      </c>
      <c r="C75" s="26" t="s">
        <v>406</v>
      </c>
      <c r="D75" s="93" t="s">
        <v>6</v>
      </c>
      <c r="E75" s="4">
        <f>'[1]ÜDM sahələr üzrə'!AI99</f>
        <v>355.4</v>
      </c>
      <c r="F75" s="5">
        <f>'[1]ÜDM sahələr üzrə'!AO99</f>
        <v>467.20983843828242</v>
      </c>
    </row>
    <row r="76" spans="1:7" customFormat="1" hidden="1" x14ac:dyDescent="0.2">
      <c r="A76" s="44" t="s">
        <v>54</v>
      </c>
      <c r="B76" s="26" t="s">
        <v>55</v>
      </c>
      <c r="C76" s="26" t="s">
        <v>407</v>
      </c>
      <c r="D76" s="93" t="s">
        <v>6</v>
      </c>
      <c r="E76" s="4">
        <f>'[1]ÜDM sahələr üzrə'!AI100</f>
        <v>187.7</v>
      </c>
      <c r="F76" s="5">
        <f>'[1]ÜDM sahələr üzrə'!AO100</f>
        <v>246.75094731250874</v>
      </c>
    </row>
    <row r="77" spans="1:7" customFormat="1" hidden="1" x14ac:dyDescent="0.2">
      <c r="A77" s="44" t="s">
        <v>56</v>
      </c>
      <c r="B77" s="26" t="s">
        <v>57</v>
      </c>
      <c r="C77" s="26" t="s">
        <v>408</v>
      </c>
      <c r="D77" s="93" t="s">
        <v>6</v>
      </c>
      <c r="E77" s="4">
        <f>'[1]ÜDM sahələr üzrə'!AI101</f>
        <v>167.7</v>
      </c>
      <c r="F77" s="5">
        <f>'[1]ÜDM sahələr üzrə'!AO101</f>
        <v>220.45889112577368</v>
      </c>
    </row>
    <row r="78" spans="1:7" customFormat="1" hidden="1" x14ac:dyDescent="0.2">
      <c r="A78" s="44"/>
      <c r="B78" s="26" t="s">
        <v>58</v>
      </c>
      <c r="C78" s="26" t="s">
        <v>409</v>
      </c>
      <c r="D78" s="93" t="s">
        <v>4</v>
      </c>
      <c r="E78" s="4">
        <f>'[1]ÜDM sahələr üzrə'!AI102</f>
        <v>47.186268992684298</v>
      </c>
      <c r="F78" s="5">
        <f>'[1]ÜDM sahələr üzrə'!AO102</f>
        <v>47.186268992684298</v>
      </c>
    </row>
    <row r="79" spans="1:7" customFormat="1" hidden="1" x14ac:dyDescent="0.2">
      <c r="A79" s="44"/>
      <c r="B79" s="26" t="s">
        <v>7</v>
      </c>
      <c r="C79" s="26" t="s">
        <v>398</v>
      </c>
      <c r="D79" s="93" t="s">
        <v>4</v>
      </c>
      <c r="E79" s="4">
        <f>'[1]ÜDM sahələr üzrə'!AI103</f>
        <v>-8.7100000000000009</v>
      </c>
      <c r="F79" s="5">
        <f>'[1]ÜDM sahələr üzrə'!AO103</f>
        <v>8.2273813087967369</v>
      </c>
    </row>
    <row r="80" spans="1:7" customFormat="1" hidden="1" x14ac:dyDescent="0.2">
      <c r="A80" s="45"/>
      <c r="B80" s="29" t="s">
        <v>45</v>
      </c>
      <c r="C80" s="29" t="s">
        <v>401</v>
      </c>
      <c r="D80" s="94" t="s">
        <v>4</v>
      </c>
      <c r="E80" s="9">
        <f>'[1]ÜDM sahələr üzrə'!AI104</f>
        <v>5.1518579054163638</v>
      </c>
      <c r="F80" s="10">
        <f>'[1]ÜDM sahələr üzrə'!AO104</f>
        <v>0</v>
      </c>
    </row>
    <row r="81" spans="1:7" customFormat="1" hidden="1" x14ac:dyDescent="0.2">
      <c r="A81" s="43" t="s">
        <v>73</v>
      </c>
      <c r="B81" s="25" t="s">
        <v>74</v>
      </c>
      <c r="C81" s="25" t="s">
        <v>74</v>
      </c>
      <c r="D81" s="92"/>
      <c r="E81" s="17"/>
      <c r="F81" s="18"/>
    </row>
    <row r="82" spans="1:7" customFormat="1" hidden="1" x14ac:dyDescent="0.2">
      <c r="A82" s="44" t="s">
        <v>52</v>
      </c>
      <c r="B82" s="26" t="s">
        <v>53</v>
      </c>
      <c r="C82" s="26" t="s">
        <v>406</v>
      </c>
      <c r="D82" s="93" t="s">
        <v>6</v>
      </c>
      <c r="E82" s="4">
        <f>'[1]ÜDM sahələr üzrə'!AI106</f>
        <v>152.4</v>
      </c>
      <c r="F82" s="5">
        <f>'[1]ÜDM sahələr üzrə'!AO106</f>
        <v>261.93179528016594</v>
      </c>
    </row>
    <row r="83" spans="1:7" customFormat="1" hidden="1" x14ac:dyDescent="0.2">
      <c r="A83" s="44" t="s">
        <v>54</v>
      </c>
      <c r="B83" s="26" t="s">
        <v>55</v>
      </c>
      <c r="C83" s="26" t="s">
        <v>407</v>
      </c>
      <c r="D83" s="93" t="s">
        <v>6</v>
      </c>
      <c r="E83" s="4">
        <f>'[1]ÜDM sahələr üzrə'!AI107</f>
        <v>113.84</v>
      </c>
      <c r="F83" s="5">
        <f>'[1]ÜDM sahələr üzrə'!AO107</f>
        <v>195.65823867909506</v>
      </c>
    </row>
    <row r="84" spans="1:7" customFormat="1" hidden="1" x14ac:dyDescent="0.2">
      <c r="A84" s="44" t="s">
        <v>56</v>
      </c>
      <c r="B84" s="26" t="s">
        <v>57</v>
      </c>
      <c r="C84" s="26" t="s">
        <v>408</v>
      </c>
      <c r="D84" s="93" t="s">
        <v>6</v>
      </c>
      <c r="E84" s="4">
        <f>'[1]ÜDM sahələr üzrə'!AI108</f>
        <v>38.56</v>
      </c>
      <c r="F84" s="5">
        <f>'[1]ÜDM sahələr üzrə'!AO108</f>
        <v>66.273556601070865</v>
      </c>
    </row>
    <row r="85" spans="1:7" customFormat="1" hidden="1" x14ac:dyDescent="0.2">
      <c r="A85" s="44"/>
      <c r="B85" s="26" t="s">
        <v>58</v>
      </c>
      <c r="C85" s="26" t="s">
        <v>409</v>
      </c>
      <c r="D85" s="93" t="s">
        <v>4</v>
      </c>
      <c r="E85" s="4">
        <f>'[1]ÜDM sahələr üzrə'!AI109</f>
        <v>25.30183727034121</v>
      </c>
      <c r="F85" s="5">
        <f>'[1]ÜDM sahələr üzrə'!AO109</f>
        <v>25.30183727034121</v>
      </c>
    </row>
    <row r="86" spans="1:7" customFormat="1" hidden="1" x14ac:dyDescent="0.2">
      <c r="A86" s="44"/>
      <c r="B86" s="26" t="s">
        <v>7</v>
      </c>
      <c r="C86" s="26" t="s">
        <v>398</v>
      </c>
      <c r="D86" s="93" t="s">
        <v>4</v>
      </c>
      <c r="E86" s="4">
        <f>'[1]ÜDM sahələr üzrə'!AI110</f>
        <v>21.73</v>
      </c>
      <c r="F86" s="5">
        <f>'[1]ÜDM sahələr üzrə'!AO110</f>
        <v>6.7659812232895717</v>
      </c>
    </row>
    <row r="87" spans="1:7" customFormat="1" hidden="1" x14ac:dyDescent="0.2">
      <c r="A87" s="45"/>
      <c r="B87" s="29" t="s">
        <v>45</v>
      </c>
      <c r="C87" s="29" t="s">
        <v>401</v>
      </c>
      <c r="D87" s="94" t="s">
        <v>4</v>
      </c>
      <c r="E87" s="9">
        <f>'[1]ÜDM sahələr üzrə'!AI111</f>
        <v>0.24259956928958104</v>
      </c>
      <c r="F87" s="10">
        <f>'[1]ÜDM sahələr üzrə'!AO111</f>
        <v>3.1041416157505921</v>
      </c>
    </row>
    <row r="88" spans="1:7" customFormat="1" ht="25.5" hidden="1" x14ac:dyDescent="0.2">
      <c r="A88" s="43" t="s">
        <v>75</v>
      </c>
      <c r="B88" s="25" t="s">
        <v>76</v>
      </c>
      <c r="C88" s="25" t="s">
        <v>76</v>
      </c>
      <c r="D88" s="92"/>
      <c r="E88" s="17"/>
      <c r="F88" s="18"/>
    </row>
    <row r="89" spans="1:7" customFormat="1" hidden="1" x14ac:dyDescent="0.2">
      <c r="A89" s="44" t="s">
        <v>52</v>
      </c>
      <c r="B89" s="26" t="s">
        <v>53</v>
      </c>
      <c r="C89" s="26" t="s">
        <v>406</v>
      </c>
      <c r="D89" s="93" t="s">
        <v>6</v>
      </c>
      <c r="E89" s="4">
        <f>'[1]ÜDM sahələr üzrə'!AI113</f>
        <v>43.6</v>
      </c>
      <c r="F89" s="5">
        <f>'[1]ÜDM sahələr üzrə'!AO113</f>
        <v>73.434651559646156</v>
      </c>
    </row>
    <row r="90" spans="1:7" customFormat="1" hidden="1" x14ac:dyDescent="0.2">
      <c r="A90" s="44" t="s">
        <v>54</v>
      </c>
      <c r="B90" s="26" t="s">
        <v>55</v>
      </c>
      <c r="C90" s="26" t="s">
        <v>407</v>
      </c>
      <c r="D90" s="93" t="s">
        <v>6</v>
      </c>
      <c r="E90" s="4">
        <f>'[1]ÜDM sahələr üzrə'!AI114</f>
        <v>32.650000000000006</v>
      </c>
      <c r="F90" s="5">
        <f>'[1]ÜDM sahələr üzrə'!AO114</f>
        <v>54.991774619780898</v>
      </c>
    </row>
    <row r="91" spans="1:7" customFormat="1" hidden="1" x14ac:dyDescent="0.2">
      <c r="A91" s="44" t="s">
        <v>56</v>
      </c>
      <c r="B91" s="26" t="s">
        <v>57</v>
      </c>
      <c r="C91" s="26" t="s">
        <v>408</v>
      </c>
      <c r="D91" s="93" t="s">
        <v>6</v>
      </c>
      <c r="E91" s="4">
        <f>'[1]ÜDM sahələr üzrə'!AI115</f>
        <v>10.95</v>
      </c>
      <c r="F91" s="5">
        <f>'[1]ÜDM sahələr üzrə'!AO115</f>
        <v>18.442876939865258</v>
      </c>
    </row>
    <row r="92" spans="1:7" customFormat="1" hidden="1" x14ac:dyDescent="0.2">
      <c r="A92" s="44"/>
      <c r="B92" s="26" t="s">
        <v>58</v>
      </c>
      <c r="C92" s="26" t="s">
        <v>409</v>
      </c>
      <c r="D92" s="93" t="s">
        <v>4</v>
      </c>
      <c r="E92" s="4">
        <f>'[1]ÜDM sahələr üzrə'!AI116</f>
        <v>25.114678899082566</v>
      </c>
      <c r="F92" s="5">
        <f>'[1]ÜDM sahələr üzrə'!AO116</f>
        <v>25.114678899082566</v>
      </c>
    </row>
    <row r="93" spans="1:7" customFormat="1" hidden="1" x14ac:dyDescent="0.2">
      <c r="A93" s="44"/>
      <c r="B93" s="26" t="s">
        <v>7</v>
      </c>
      <c r="C93" s="26" t="s">
        <v>398</v>
      </c>
      <c r="D93" s="93" t="s">
        <v>4</v>
      </c>
      <c r="E93" s="4">
        <f>'[1]ÜDM sahələr üzrə'!AI117</f>
        <v>9.0399999999999991</v>
      </c>
      <c r="F93" s="5">
        <f>'[1]ÜDM sahələr üzrə'!AO117</f>
        <v>2.5380695337277643</v>
      </c>
    </row>
    <row r="94" spans="1:7" customFormat="1" hidden="1" x14ac:dyDescent="0.2">
      <c r="A94" s="45"/>
      <c r="B94" s="29" t="s">
        <v>45</v>
      </c>
      <c r="C94" s="29" t="s">
        <v>401</v>
      </c>
      <c r="D94" s="94" t="s">
        <v>4</v>
      </c>
      <c r="E94" s="9">
        <f>'[1]ÜDM sahələr üzrə'!AI118</f>
        <v>62.626499653954539</v>
      </c>
      <c r="F94" s="10">
        <f>'[1]ÜDM sahələr üzrə'!AO118</f>
        <v>7.2035648256658646</v>
      </c>
    </row>
    <row r="95" spans="1:7" customFormat="1" ht="25.5" hidden="1" x14ac:dyDescent="0.2">
      <c r="A95" s="43" t="s">
        <v>77</v>
      </c>
      <c r="B95" s="25" t="s">
        <v>78</v>
      </c>
      <c r="C95" s="172" t="s">
        <v>413</v>
      </c>
      <c r="D95" s="92"/>
      <c r="E95" s="17"/>
      <c r="F95" s="18"/>
      <c r="G95" s="168" t="s">
        <v>397</v>
      </c>
    </row>
    <row r="96" spans="1:7" customFormat="1" hidden="1" x14ac:dyDescent="0.2">
      <c r="A96" s="44" t="s">
        <v>52</v>
      </c>
      <c r="B96" s="26" t="s">
        <v>53</v>
      </c>
      <c r="C96" s="26" t="s">
        <v>406</v>
      </c>
      <c r="D96" s="93" t="s">
        <v>6</v>
      </c>
      <c r="E96" s="4">
        <f>'[1]ÜDM sahələr üzrə'!AI120</f>
        <v>26.1</v>
      </c>
      <c r="F96" s="5">
        <f>'[1]ÜDM sahələr üzrə'!AO120</f>
        <v>43.394452347027865</v>
      </c>
    </row>
    <row r="97" spans="1:7" customFormat="1" hidden="1" x14ac:dyDescent="0.2">
      <c r="A97" s="44" t="s">
        <v>54</v>
      </c>
      <c r="B97" s="26" t="s">
        <v>55</v>
      </c>
      <c r="C97" s="26" t="s">
        <v>407</v>
      </c>
      <c r="D97" s="93" t="s">
        <v>6</v>
      </c>
      <c r="E97" s="4">
        <f>'[1]ÜDM sahələr üzrə'!AI121</f>
        <v>15.980000000000002</v>
      </c>
      <c r="F97" s="5">
        <f>'[1]ÜDM sahələr üzrə'!AO121</f>
        <v>26.56871067070902</v>
      </c>
    </row>
    <row r="98" spans="1:7" customFormat="1" hidden="1" x14ac:dyDescent="0.2">
      <c r="A98" s="44" t="s">
        <v>56</v>
      </c>
      <c r="B98" s="26" t="s">
        <v>57</v>
      </c>
      <c r="C98" s="26" t="s">
        <v>408</v>
      </c>
      <c r="D98" s="93" t="s">
        <v>6</v>
      </c>
      <c r="E98" s="4">
        <f>'[1]ÜDM sahələr üzrə'!AI122</f>
        <v>10.119999999999999</v>
      </c>
      <c r="F98" s="5">
        <f>'[1]ÜDM sahələr üzrə'!AO122</f>
        <v>16.825741676318845</v>
      </c>
    </row>
    <row r="99" spans="1:7" customFormat="1" hidden="1" x14ac:dyDescent="0.2">
      <c r="A99" s="44"/>
      <c r="B99" s="26" t="s">
        <v>58</v>
      </c>
      <c r="C99" s="26" t="s">
        <v>409</v>
      </c>
      <c r="D99" s="93" t="s">
        <v>4</v>
      </c>
      <c r="E99" s="4">
        <f>'[1]ÜDM sahələr üzrə'!AI123</f>
        <v>38.773946360153246</v>
      </c>
      <c r="F99" s="5">
        <f>'[1]ÜDM sahələr üzrə'!AO123</f>
        <v>38.773946360153246</v>
      </c>
    </row>
    <row r="100" spans="1:7" customFormat="1" hidden="1" x14ac:dyDescent="0.2">
      <c r="A100" s="44"/>
      <c r="B100" s="26" t="s">
        <v>7</v>
      </c>
      <c r="C100" s="26" t="s">
        <v>398</v>
      </c>
      <c r="D100" s="93" t="s">
        <v>4</v>
      </c>
      <c r="E100" s="4">
        <f>'[1]ÜDM sahələr üzrə'!AI124</f>
        <v>-29.1</v>
      </c>
      <c r="F100" s="5">
        <f>'[1]ÜDM sahələr üzrə'!AO124</f>
        <v>3.101305413427653</v>
      </c>
    </row>
    <row r="101" spans="1:7" customFormat="1" hidden="1" x14ac:dyDescent="0.2">
      <c r="A101" s="45"/>
      <c r="B101" s="29" t="s">
        <v>45</v>
      </c>
      <c r="C101" s="29" t="s">
        <v>401</v>
      </c>
      <c r="D101" s="94" t="s">
        <v>4</v>
      </c>
      <c r="E101" s="9">
        <f>'[1]ÜDM sahələr üzrə'!AI125</f>
        <v>-0.25419410415553045</v>
      </c>
      <c r="F101" s="10">
        <f>'[1]ÜDM sahələr üzrə'!AO125</f>
        <v>7.2035648256658646</v>
      </c>
    </row>
    <row r="102" spans="1:7" customFormat="1" hidden="1" x14ac:dyDescent="0.2">
      <c r="A102" s="43" t="s">
        <v>79</v>
      </c>
      <c r="B102" s="25" t="s">
        <v>80</v>
      </c>
      <c r="C102" s="25" t="s">
        <v>80</v>
      </c>
      <c r="D102" s="92"/>
      <c r="E102" s="17"/>
      <c r="F102" s="18"/>
    </row>
    <row r="103" spans="1:7" customFormat="1" hidden="1" x14ac:dyDescent="0.2">
      <c r="A103" s="44" t="s">
        <v>52</v>
      </c>
      <c r="B103" s="26" t="s">
        <v>53</v>
      </c>
      <c r="C103" s="26" t="s">
        <v>406</v>
      </c>
      <c r="D103" s="93" t="s">
        <v>6</v>
      </c>
      <c r="E103" s="4">
        <f>'[1]ÜDM sahələr üzrə'!AI127</f>
        <v>227</v>
      </c>
      <c r="F103" s="5">
        <f>'[1]ÜDM sahələr üzrə'!AO127</f>
        <v>347.61338696068384</v>
      </c>
    </row>
    <row r="104" spans="1:7" customFormat="1" hidden="1" x14ac:dyDescent="0.2">
      <c r="A104" s="44" t="s">
        <v>54</v>
      </c>
      <c r="B104" s="26" t="s">
        <v>55</v>
      </c>
      <c r="C104" s="26" t="s">
        <v>407</v>
      </c>
      <c r="D104" s="93" t="s">
        <v>6</v>
      </c>
      <c r="E104" s="4">
        <f>'[1]ÜDM sahələr üzrə'!AI128</f>
        <v>162.26</v>
      </c>
      <c r="F104" s="5">
        <f>'[1]ÜDM sahələr üzrə'!AO128</f>
        <v>248.47466153409937</v>
      </c>
    </row>
    <row r="105" spans="1:7" customFormat="1" hidden="1" x14ac:dyDescent="0.2">
      <c r="A105" s="44" t="s">
        <v>56</v>
      </c>
      <c r="B105" s="26" t="s">
        <v>57</v>
      </c>
      <c r="C105" s="26" t="s">
        <v>408</v>
      </c>
      <c r="D105" s="93" t="s">
        <v>6</v>
      </c>
      <c r="E105" s="4">
        <f>'[1]ÜDM sahələr üzrə'!AI129</f>
        <v>64.739999999999995</v>
      </c>
      <c r="F105" s="5">
        <f>'[1]ÜDM sahələr üzrə'!AO129</f>
        <v>99.138725426584458</v>
      </c>
    </row>
    <row r="106" spans="1:7" customFormat="1" hidden="1" x14ac:dyDescent="0.2">
      <c r="A106" s="44"/>
      <c r="B106" s="26" t="s">
        <v>58</v>
      </c>
      <c r="C106" s="26" t="s">
        <v>409</v>
      </c>
      <c r="D106" s="93" t="s">
        <v>4</v>
      </c>
      <c r="E106" s="4">
        <f>'[1]ÜDM sahələr üzrə'!AI130</f>
        <v>28.519823788546255</v>
      </c>
      <c r="F106" s="5">
        <f>'[1]ÜDM sahələr üzrə'!AO130</f>
        <v>28.519823788546255</v>
      </c>
    </row>
    <row r="107" spans="1:7" customFormat="1" hidden="1" x14ac:dyDescent="0.2">
      <c r="A107" s="44"/>
      <c r="B107" s="26" t="s">
        <v>7</v>
      </c>
      <c r="C107" s="26" t="s">
        <v>398</v>
      </c>
      <c r="D107" s="93" t="s">
        <v>4</v>
      </c>
      <c r="E107" s="4">
        <f>'[1]ÜDM sahələr üzrə'!AI131</f>
        <v>33.58</v>
      </c>
      <c r="F107" s="5">
        <f>'[1]ÜDM sahələr üzrə'!AO131</f>
        <v>6.3205406317301822</v>
      </c>
    </row>
    <row r="108" spans="1:7" customFormat="1" hidden="1" x14ac:dyDescent="0.2">
      <c r="A108" s="45"/>
      <c r="B108" s="29" t="s">
        <v>45</v>
      </c>
      <c r="C108" s="29" t="s">
        <v>401</v>
      </c>
      <c r="D108" s="94" t="s">
        <v>4</v>
      </c>
      <c r="E108" s="9">
        <f>'[1]ÜDM sahələr üzrə'!AI132</f>
        <v>0.75954079547430808</v>
      </c>
      <c r="F108" s="10">
        <f>'[1]ÜDM sahələr üzrə'!AO132</f>
        <v>1.0547170513436228</v>
      </c>
    </row>
    <row r="109" spans="1:7" customFormat="1" ht="25.5" hidden="1" x14ac:dyDescent="0.2">
      <c r="A109" s="43" t="s">
        <v>81</v>
      </c>
      <c r="B109" s="25" t="s">
        <v>82</v>
      </c>
      <c r="C109" s="172" t="s">
        <v>414</v>
      </c>
      <c r="D109" s="92"/>
      <c r="E109" s="17"/>
      <c r="F109" s="18"/>
      <c r="G109" s="168" t="s">
        <v>397</v>
      </c>
    </row>
    <row r="110" spans="1:7" customFormat="1" hidden="1" x14ac:dyDescent="0.2">
      <c r="A110" s="44" t="s">
        <v>52</v>
      </c>
      <c r="B110" s="26" t="s">
        <v>53</v>
      </c>
      <c r="C110" s="26" t="s">
        <v>406</v>
      </c>
      <c r="D110" s="93" t="s">
        <v>6</v>
      </c>
      <c r="E110" s="4">
        <f>'[1]ÜDM sahələr üzrə'!AI134</f>
        <v>141.5</v>
      </c>
      <c r="F110" s="5">
        <f>'[1]ÜDM sahələr üzrə'!AO134</f>
        <v>237.49273469661131</v>
      </c>
    </row>
    <row r="111" spans="1:7" customFormat="1" hidden="1" x14ac:dyDescent="0.2">
      <c r="A111" s="44" t="s">
        <v>54</v>
      </c>
      <c r="B111" s="26" t="s">
        <v>55</v>
      </c>
      <c r="C111" s="26" t="s">
        <v>407</v>
      </c>
      <c r="D111" s="93" t="s">
        <v>6</v>
      </c>
      <c r="E111" s="4">
        <f>'[1]ÜDM sahələr üzrə'!AI135</f>
        <v>77.260000000000005</v>
      </c>
      <c r="F111" s="5">
        <f>'[1]ÜDM sahələr üzrə'!AO135</f>
        <v>129.67271153823455</v>
      </c>
    </row>
    <row r="112" spans="1:7" customFormat="1" hidden="1" x14ac:dyDescent="0.2">
      <c r="A112" s="44" t="s">
        <v>56</v>
      </c>
      <c r="B112" s="26" t="s">
        <v>57</v>
      </c>
      <c r="C112" s="26" t="s">
        <v>408</v>
      </c>
      <c r="D112" s="93" t="s">
        <v>6</v>
      </c>
      <c r="E112" s="4">
        <f>'[1]ÜDM sahələr üzrə'!AI136</f>
        <v>64.239999999999995</v>
      </c>
      <c r="F112" s="5">
        <f>'[1]ÜDM sahələr üzrə'!AO136</f>
        <v>107.82002315837676</v>
      </c>
    </row>
    <row r="113" spans="1:7" customFormat="1" hidden="1" x14ac:dyDescent="0.2">
      <c r="A113" s="44"/>
      <c r="B113" s="26" t="s">
        <v>58</v>
      </c>
      <c r="C113" s="26" t="s">
        <v>409</v>
      </c>
      <c r="D113" s="93" t="s">
        <v>4</v>
      </c>
      <c r="E113" s="4">
        <f>'[1]ÜDM sahələr üzrə'!AI137</f>
        <v>45.399293286219077</v>
      </c>
      <c r="F113" s="5">
        <f>'[1]ÜDM sahələr üzrə'!AO137</f>
        <v>45.399293286219077</v>
      </c>
    </row>
    <row r="114" spans="1:7" customFormat="1" hidden="1" x14ac:dyDescent="0.2">
      <c r="A114" s="44"/>
      <c r="B114" s="26" t="s">
        <v>7</v>
      </c>
      <c r="C114" s="26" t="s">
        <v>398</v>
      </c>
      <c r="D114" s="93" t="s">
        <v>4</v>
      </c>
      <c r="E114" s="4">
        <f>'[1]ÜDM sahələr üzrə'!AI138</f>
        <v>12.45</v>
      </c>
      <c r="F114" s="5">
        <f>'[1]ÜDM sahələr üzrə'!AO138</f>
        <v>4.5956443921498931</v>
      </c>
    </row>
    <row r="115" spans="1:7" customFormat="1" hidden="1" x14ac:dyDescent="0.2">
      <c r="A115" s="45"/>
      <c r="B115" s="29" t="s">
        <v>45</v>
      </c>
      <c r="C115" s="29" t="s">
        <v>401</v>
      </c>
      <c r="D115" s="94" t="s">
        <v>4</v>
      </c>
      <c r="E115" s="9">
        <f>'[1]ÜDM sahələr üzrə'!AI139</f>
        <v>2.8585024705094213</v>
      </c>
      <c r="F115" s="10">
        <f>'[1]ÜDM sahələr üzrə'!AO139</f>
        <v>7.2035648256658931</v>
      </c>
    </row>
    <row r="116" spans="1:7" customFormat="1" hidden="1" x14ac:dyDescent="0.2">
      <c r="A116" s="43" t="s">
        <v>83</v>
      </c>
      <c r="B116" s="25" t="s">
        <v>84</v>
      </c>
      <c r="C116" s="25" t="s">
        <v>84</v>
      </c>
      <c r="D116" s="92"/>
      <c r="E116" s="17"/>
      <c r="F116" s="18"/>
    </row>
    <row r="117" spans="1:7" customFormat="1" hidden="1" x14ac:dyDescent="0.2">
      <c r="A117" s="44" t="s">
        <v>52</v>
      </c>
      <c r="B117" s="26" t="s">
        <v>53</v>
      </c>
      <c r="C117" s="26" t="s">
        <v>406</v>
      </c>
      <c r="D117" s="93" t="s">
        <v>6</v>
      </c>
      <c r="E117" s="4">
        <f>'[1]ÜDM sahələr üzrə'!AI141</f>
        <v>4741.2</v>
      </c>
      <c r="F117" s="5">
        <f>'[1]ÜDM sahələr üzrə'!AO141</f>
        <v>6235.383131685724</v>
      </c>
    </row>
    <row r="118" spans="1:7" customFormat="1" hidden="1" x14ac:dyDescent="0.2">
      <c r="A118" s="44" t="s">
        <v>54</v>
      </c>
      <c r="B118" s="26" t="s">
        <v>55</v>
      </c>
      <c r="C118" s="26" t="s">
        <v>407</v>
      </c>
      <c r="D118" s="93" t="s">
        <v>6</v>
      </c>
      <c r="E118" s="4">
        <f>'[1]ÜDM sahələr üzrə'!AI142</f>
        <v>2943.6</v>
      </c>
      <c r="F118" s="5">
        <f>'[1]ÜDM sahələr üzrə'!AO142</f>
        <v>3123.0258090686521</v>
      </c>
    </row>
    <row r="119" spans="1:7" customFormat="1" hidden="1" x14ac:dyDescent="0.2">
      <c r="A119" s="44" t="s">
        <v>56</v>
      </c>
      <c r="B119" s="26" t="s">
        <v>57</v>
      </c>
      <c r="C119" s="26" t="s">
        <v>408</v>
      </c>
      <c r="D119" s="93" t="s">
        <v>6</v>
      </c>
      <c r="E119" s="4">
        <f>'[1]ÜDM sahələr üzrə'!AI143</f>
        <v>1797.6</v>
      </c>
      <c r="F119" s="5">
        <f>'[1]ÜDM sahələr üzrə'!AO143</f>
        <v>3112.357322617072</v>
      </c>
    </row>
    <row r="120" spans="1:7" customFormat="1" hidden="1" x14ac:dyDescent="0.2">
      <c r="A120" s="44"/>
      <c r="B120" s="26" t="s">
        <v>58</v>
      </c>
      <c r="C120" s="26" t="s">
        <v>409</v>
      </c>
      <c r="D120" s="93" t="s">
        <v>4</v>
      </c>
      <c r="E120" s="4">
        <f>'[1]ÜDM sahələr üzrə'!AI144</f>
        <v>37.914452037458872</v>
      </c>
      <c r="F120" s="5">
        <f>'[1]ÜDM sahələr üzrə'!AO144</f>
        <v>49.914452037458872</v>
      </c>
    </row>
    <row r="121" spans="1:7" customFormat="1" hidden="1" x14ac:dyDescent="0.2">
      <c r="A121" s="44"/>
      <c r="B121" s="26" t="s">
        <v>7</v>
      </c>
      <c r="C121" s="26" t="s">
        <v>398</v>
      </c>
      <c r="D121" s="93" t="s">
        <v>4</v>
      </c>
      <c r="E121" s="4">
        <f>'[1]ÜDM sahələr üzrə'!AI145</f>
        <v>-10.96</v>
      </c>
      <c r="F121" s="5">
        <f>'[1]ÜDM sahələr üzrə'!AO145</f>
        <v>2.3416390726593295E-3</v>
      </c>
    </row>
    <row r="122" spans="1:7" customFormat="1" hidden="1" x14ac:dyDescent="0.2">
      <c r="A122" s="45"/>
      <c r="B122" s="29" t="s">
        <v>45</v>
      </c>
      <c r="C122" s="29" t="s">
        <v>401</v>
      </c>
      <c r="D122" s="94" t="s">
        <v>4</v>
      </c>
      <c r="E122" s="9">
        <f>'[1]ÜDM sahələr üzrə'!AI146</f>
        <v>23.116716948914615</v>
      </c>
      <c r="F122" s="10">
        <f>'[1]ÜDM sahələr üzrə'!AO146</f>
        <v>5.2397552823331637</v>
      </c>
    </row>
    <row r="123" spans="1:7" customFormat="1" ht="25.5" hidden="1" x14ac:dyDescent="0.2">
      <c r="A123" s="43" t="s">
        <v>85</v>
      </c>
      <c r="B123" s="25" t="s">
        <v>86</v>
      </c>
      <c r="C123" s="172" t="s">
        <v>415</v>
      </c>
      <c r="D123" s="92"/>
      <c r="E123" s="17"/>
      <c r="F123" s="18"/>
      <c r="G123" s="168" t="s">
        <v>397</v>
      </c>
    </row>
    <row r="124" spans="1:7" customFormat="1" hidden="1" x14ac:dyDescent="0.2">
      <c r="A124" s="44" t="s">
        <v>52</v>
      </c>
      <c r="B124" s="26" t="s">
        <v>53</v>
      </c>
      <c r="C124" s="26" t="s">
        <v>406</v>
      </c>
      <c r="D124" s="93" t="s">
        <v>6</v>
      </c>
      <c r="E124" s="4">
        <f>'[1]ÜDM sahələr üzrə'!AI148</f>
        <v>1556.5</v>
      </c>
      <c r="F124" s="5">
        <f>'[1]ÜDM sahələr üzrə'!AO148</f>
        <v>1653.9390237325922</v>
      </c>
    </row>
    <row r="125" spans="1:7" customFormat="1" hidden="1" x14ac:dyDescent="0.2">
      <c r="A125" s="44" t="s">
        <v>54</v>
      </c>
      <c r="B125" s="26" t="s">
        <v>55</v>
      </c>
      <c r="C125" s="26" t="s">
        <v>407</v>
      </c>
      <c r="D125" s="93" t="s">
        <v>6</v>
      </c>
      <c r="E125" s="4">
        <f>'[1]ÜDM sahələr üzrə'!AI149</f>
        <v>955.7</v>
      </c>
      <c r="F125" s="5">
        <f>'[1]ÜDM sahələr üzrə'!AO149</f>
        <v>1015.5281239840915</v>
      </c>
    </row>
    <row r="126" spans="1:7" customFormat="1" hidden="1" x14ac:dyDescent="0.2">
      <c r="A126" s="44" t="s">
        <v>56</v>
      </c>
      <c r="B126" s="26" t="s">
        <v>57</v>
      </c>
      <c r="C126" s="26" t="s">
        <v>408</v>
      </c>
      <c r="D126" s="93" t="s">
        <v>6</v>
      </c>
      <c r="E126" s="4">
        <f>'[1]ÜDM sahələr üzrə'!AI150</f>
        <v>600.79999999999995</v>
      </c>
      <c r="F126" s="5">
        <f>'[1]ÜDM sahələr üzrə'!AO150</f>
        <v>638.4108997485007</v>
      </c>
    </row>
    <row r="127" spans="1:7" customFormat="1" hidden="1" x14ac:dyDescent="0.2">
      <c r="A127" s="44"/>
      <c r="B127" s="26" t="s">
        <v>58</v>
      </c>
      <c r="C127" s="26" t="s">
        <v>409</v>
      </c>
      <c r="D127" s="93" t="s">
        <v>4</v>
      </c>
      <c r="E127" s="4">
        <f>'[1]ÜDM sahələr üzrə'!AI151</f>
        <v>38.599421779633794</v>
      </c>
      <c r="F127" s="5">
        <f>'[1]ÜDM sahələr üzrə'!AO151</f>
        <v>38.599421779633794</v>
      </c>
    </row>
    <row r="128" spans="1:7" customFormat="1" hidden="1" x14ac:dyDescent="0.2">
      <c r="A128" s="44"/>
      <c r="B128" s="26" t="s">
        <v>7</v>
      </c>
      <c r="C128" s="26" t="s">
        <v>398</v>
      </c>
      <c r="D128" s="93" t="s">
        <v>4</v>
      </c>
      <c r="E128" s="4">
        <f>'[1]ÜDM sahələr üzrə'!AI152</f>
        <v>6.5</v>
      </c>
      <c r="F128" s="5">
        <f>'[1]ÜDM sahələr üzrə'!AO152</f>
        <v>-8.6509308590035658</v>
      </c>
    </row>
    <row r="129" spans="1:7" customFormat="1" hidden="1" x14ac:dyDescent="0.2">
      <c r="A129" s="45"/>
      <c r="B129" s="29" t="s">
        <v>45</v>
      </c>
      <c r="C129" s="29" t="s">
        <v>401</v>
      </c>
      <c r="D129" s="94" t="s">
        <v>4</v>
      </c>
      <c r="E129" s="9">
        <f>'[1]ÜDM sahələr üzrə'!AI153</f>
        <v>-9.9119362186105064</v>
      </c>
      <c r="F129" s="10">
        <f>'[1]ÜDM sahələr üzrə'!AO153</f>
        <v>0.2878464818763149</v>
      </c>
    </row>
    <row r="130" spans="1:7" customFormat="1" ht="25.5" hidden="1" x14ac:dyDescent="0.2">
      <c r="A130" s="43" t="s">
        <v>87</v>
      </c>
      <c r="B130" s="25" t="s">
        <v>88</v>
      </c>
      <c r="C130" s="25" t="s">
        <v>88</v>
      </c>
      <c r="D130" s="92"/>
      <c r="E130" s="17"/>
      <c r="F130" s="18"/>
    </row>
    <row r="131" spans="1:7" customFormat="1" hidden="1" x14ac:dyDescent="0.2">
      <c r="A131" s="44" t="s">
        <v>52</v>
      </c>
      <c r="B131" s="26" t="s">
        <v>53</v>
      </c>
      <c r="C131" s="26" t="s">
        <v>406</v>
      </c>
      <c r="D131" s="93" t="s">
        <v>6</v>
      </c>
      <c r="E131" s="4">
        <f>'[1]ÜDM sahələr üzrə'!AI155</f>
        <v>19.8</v>
      </c>
      <c r="F131" s="5">
        <f>'[1]ÜDM sahələr üzrə'!AO155</f>
        <v>65.781084291411716</v>
      </c>
    </row>
    <row r="132" spans="1:7" customFormat="1" hidden="1" x14ac:dyDescent="0.2">
      <c r="A132" s="44" t="s">
        <v>54</v>
      </c>
      <c r="B132" s="26" t="s">
        <v>55</v>
      </c>
      <c r="C132" s="26" t="s">
        <v>407</v>
      </c>
      <c r="D132" s="93" t="s">
        <v>6</v>
      </c>
      <c r="E132" s="4">
        <f>'[1]ÜDM sahələr üzrə'!AI156</f>
        <v>12.040000000000001</v>
      </c>
      <c r="F132" s="5">
        <f>'[1]ÜDM sahələr üzrə'!AO156</f>
        <v>40.000214892353384</v>
      </c>
    </row>
    <row r="133" spans="1:7" customFormat="1" hidden="1" x14ac:dyDescent="0.2">
      <c r="A133" s="44" t="s">
        <v>56</v>
      </c>
      <c r="B133" s="26" t="s">
        <v>57</v>
      </c>
      <c r="C133" s="26" t="s">
        <v>408</v>
      </c>
      <c r="D133" s="93" t="s">
        <v>6</v>
      </c>
      <c r="E133" s="4">
        <f>'[1]ÜDM sahələr üzrə'!AI157</f>
        <v>7.76</v>
      </c>
      <c r="F133" s="5">
        <f>'[1]ÜDM sahələr üzrə'!AO157</f>
        <v>25.780869399058329</v>
      </c>
    </row>
    <row r="134" spans="1:7" customFormat="1" hidden="1" x14ac:dyDescent="0.2">
      <c r="A134" s="44"/>
      <c r="B134" s="26" t="s">
        <v>58</v>
      </c>
      <c r="C134" s="26" t="s">
        <v>409</v>
      </c>
      <c r="D134" s="93" t="s">
        <v>4</v>
      </c>
      <c r="E134" s="4">
        <f>'[1]ÜDM sahələr üzrə'!AI158</f>
        <v>39.19191919191919</v>
      </c>
      <c r="F134" s="5">
        <f>'[1]ÜDM sahələr üzrə'!AO158</f>
        <v>39.19191919191919</v>
      </c>
    </row>
    <row r="135" spans="1:7" customFormat="1" hidden="1" x14ac:dyDescent="0.2">
      <c r="A135" s="44"/>
      <c r="B135" s="26" t="s">
        <v>7</v>
      </c>
      <c r="C135" s="26" t="s">
        <v>398</v>
      </c>
      <c r="D135" s="93" t="s">
        <v>4</v>
      </c>
      <c r="E135" s="4">
        <f>'[1]ÜDM sahələr üzrə'!AI159</f>
        <v>-9.65</v>
      </c>
      <c r="F135" s="5">
        <f>'[1]ÜDM sahələr üzrə'!AO159</f>
        <v>14.643171876108113</v>
      </c>
    </row>
    <row r="136" spans="1:7" customFormat="1" hidden="1" x14ac:dyDescent="0.2">
      <c r="A136" s="45"/>
      <c r="B136" s="29" t="s">
        <v>45</v>
      </c>
      <c r="C136" s="29" t="s">
        <v>401</v>
      </c>
      <c r="D136" s="94" t="s">
        <v>4</v>
      </c>
      <c r="E136" s="9">
        <f>'[1]ÜDM sahələr üzrə'!AI160</f>
        <v>3.8551541800695901</v>
      </c>
      <c r="F136" s="10">
        <f>'[1]ÜDM sahələr üzrə'!AO160</f>
        <v>7.2035648256658931</v>
      </c>
    </row>
    <row r="137" spans="1:7" customFormat="1" ht="25.5" hidden="1" x14ac:dyDescent="0.2">
      <c r="A137" s="43" t="s">
        <v>89</v>
      </c>
      <c r="B137" s="25" t="s">
        <v>90</v>
      </c>
      <c r="C137" s="172" t="s">
        <v>416</v>
      </c>
      <c r="D137" s="92"/>
      <c r="E137" s="17"/>
      <c r="F137" s="18"/>
      <c r="G137" s="168" t="s">
        <v>397</v>
      </c>
    </row>
    <row r="138" spans="1:7" customFormat="1" hidden="1" x14ac:dyDescent="0.2">
      <c r="A138" s="44" t="s">
        <v>52</v>
      </c>
      <c r="B138" s="26" t="s">
        <v>53</v>
      </c>
      <c r="C138" s="26" t="s">
        <v>406</v>
      </c>
      <c r="D138" s="93" t="s">
        <v>6</v>
      </c>
      <c r="E138" s="4">
        <f>'[1]ÜDM sahələr üzrə'!AI162</f>
        <v>532.79999999999995</v>
      </c>
      <c r="F138" s="5">
        <f>'[1]ÜDM sahələr üzrə'!AO162</f>
        <v>941.24422825129693</v>
      </c>
    </row>
    <row r="139" spans="1:7" customFormat="1" hidden="1" x14ac:dyDescent="0.2">
      <c r="A139" s="44" t="s">
        <v>54</v>
      </c>
      <c r="B139" s="26" t="s">
        <v>55</v>
      </c>
      <c r="C139" s="26" t="s">
        <v>407</v>
      </c>
      <c r="D139" s="93" t="s">
        <v>6</v>
      </c>
      <c r="E139" s="4">
        <f>'[1]ÜDM sahələr üzrə'!AI163</f>
        <v>389.49999999999994</v>
      </c>
      <c r="F139" s="5">
        <f>'[1]ÜDM sahələr üzrə'!AO163</f>
        <v>688.09051596073596</v>
      </c>
    </row>
    <row r="140" spans="1:7" customFormat="1" hidden="1" x14ac:dyDescent="0.2">
      <c r="A140" s="44" t="s">
        <v>56</v>
      </c>
      <c r="B140" s="26" t="s">
        <v>57</v>
      </c>
      <c r="C140" s="26" t="s">
        <v>408</v>
      </c>
      <c r="D140" s="93" t="s">
        <v>6</v>
      </c>
      <c r="E140" s="4">
        <f>'[1]ÜDM sahələr üzrə'!AI164</f>
        <v>143.30000000000001</v>
      </c>
      <c r="F140" s="5">
        <f>'[1]ÜDM sahələr üzrə'!AO164</f>
        <v>253.15371229056095</v>
      </c>
    </row>
    <row r="141" spans="1:7" customFormat="1" hidden="1" x14ac:dyDescent="0.2">
      <c r="A141" s="44"/>
      <c r="B141" s="26" t="s">
        <v>58</v>
      </c>
      <c r="C141" s="26" t="s">
        <v>409</v>
      </c>
      <c r="D141" s="93" t="s">
        <v>4</v>
      </c>
      <c r="E141" s="4">
        <f>'[1]ÜDM sahələr üzrə'!AI165</f>
        <v>26.895645645645651</v>
      </c>
      <c r="F141" s="5">
        <f>'[1]ÜDM sahələr üzrə'!AO165</f>
        <v>26.895645645645651</v>
      </c>
    </row>
    <row r="142" spans="1:7" customFormat="1" hidden="1" x14ac:dyDescent="0.2">
      <c r="A142" s="44"/>
      <c r="B142" s="26" t="s">
        <v>7</v>
      </c>
      <c r="C142" s="26" t="s">
        <v>398</v>
      </c>
      <c r="D142" s="93" t="s">
        <v>4</v>
      </c>
      <c r="E142" s="4">
        <f>'[1]ÜDM sahələr üzrə'!AI166</f>
        <v>-15</v>
      </c>
      <c r="F142" s="5">
        <f>'[1]ÜDM sahələr üzrə'!AO166</f>
        <v>6.686735362817231</v>
      </c>
    </row>
    <row r="143" spans="1:7" customFormat="1" hidden="1" x14ac:dyDescent="0.2">
      <c r="A143" s="45"/>
      <c r="B143" s="29" t="s">
        <v>45</v>
      </c>
      <c r="C143" s="29" t="s">
        <v>401</v>
      </c>
      <c r="D143" s="94" t="s">
        <v>4</v>
      </c>
      <c r="E143" s="9">
        <f>'[1]ÜDM sahələr üzrə'!AI167</f>
        <v>-0.8887505619531737</v>
      </c>
      <c r="F143" s="10">
        <f>'[1]ÜDM sahələr üzrə'!AO167</f>
        <v>-3.2653061224489903</v>
      </c>
    </row>
    <row r="144" spans="1:7" customFormat="1" ht="25.5" hidden="1" x14ac:dyDescent="0.2">
      <c r="A144" s="43" t="s">
        <v>91</v>
      </c>
      <c r="B144" s="25" t="s">
        <v>92</v>
      </c>
      <c r="C144" s="25" t="s">
        <v>92</v>
      </c>
      <c r="D144" s="92"/>
      <c r="E144" s="17"/>
      <c r="F144" s="18"/>
    </row>
    <row r="145" spans="1:7" customFormat="1" hidden="1" x14ac:dyDescent="0.2">
      <c r="A145" s="44" t="s">
        <v>52</v>
      </c>
      <c r="B145" s="26" t="s">
        <v>53</v>
      </c>
      <c r="C145" s="26" t="s">
        <v>406</v>
      </c>
      <c r="D145" s="93" t="s">
        <v>6</v>
      </c>
      <c r="E145" s="4">
        <f>'[1]ÜDM sahələr üzrə'!AI169</f>
        <v>1423.3</v>
      </c>
      <c r="F145" s="5">
        <f>'[1]ÜDM sahələr üzrə'!AO169</f>
        <v>3642.8609992199299</v>
      </c>
    </row>
    <row r="146" spans="1:7" customFormat="1" hidden="1" x14ac:dyDescent="0.2">
      <c r="A146" s="44" t="s">
        <v>54</v>
      </c>
      <c r="B146" s="26" t="s">
        <v>55</v>
      </c>
      <c r="C146" s="26" t="s">
        <v>407</v>
      </c>
      <c r="D146" s="93" t="s">
        <v>6</v>
      </c>
      <c r="E146" s="4">
        <f>'[1]ÜDM sahələr üzrə'!AI170</f>
        <v>908.09999999999991</v>
      </c>
      <c r="F146" s="5">
        <f>'[1]ÜDM sahələr üzrə'!AO170</f>
        <v>2324.23387437056</v>
      </c>
    </row>
    <row r="147" spans="1:7" customFormat="1" hidden="1" x14ac:dyDescent="0.2">
      <c r="A147" s="44" t="s">
        <v>56</v>
      </c>
      <c r="B147" s="26" t="s">
        <v>57</v>
      </c>
      <c r="C147" s="26" t="s">
        <v>408</v>
      </c>
      <c r="D147" s="93" t="s">
        <v>6</v>
      </c>
      <c r="E147" s="4">
        <f>'[1]ÜDM sahələr üzrə'!AI171</f>
        <v>515.20000000000005</v>
      </c>
      <c r="F147" s="5">
        <f>'[1]ÜDM sahələr üzrə'!AO171</f>
        <v>1318.6271248493699</v>
      </c>
    </row>
    <row r="148" spans="1:7" customFormat="1" hidden="1" x14ac:dyDescent="0.2">
      <c r="A148" s="44"/>
      <c r="B148" s="26" t="s">
        <v>58</v>
      </c>
      <c r="C148" s="26" t="s">
        <v>409</v>
      </c>
      <c r="D148" s="93" t="s">
        <v>4</v>
      </c>
      <c r="E148" s="4">
        <f>'[1]ÜDM sahələr üzrə'!AI172</f>
        <v>36.197569029719666</v>
      </c>
      <c r="F148" s="5">
        <f>'[1]ÜDM sahələr üzrə'!AO172</f>
        <v>36.197569029719666</v>
      </c>
    </row>
    <row r="149" spans="1:7" customFormat="1" hidden="1" x14ac:dyDescent="0.2">
      <c r="A149" s="44"/>
      <c r="B149" s="26" t="s">
        <v>7</v>
      </c>
      <c r="C149" s="26" t="s">
        <v>398</v>
      </c>
      <c r="D149" s="93" t="s">
        <v>4</v>
      </c>
      <c r="E149" s="4">
        <f>'[1]ÜDM sahələr üzrə'!AI173</f>
        <v>12</v>
      </c>
      <c r="F149" s="5">
        <f>'[1]ÜDM sahələr üzrə'!AO173</f>
        <v>13.350579438053359</v>
      </c>
    </row>
    <row r="150" spans="1:7" customFormat="1" hidden="1" x14ac:dyDescent="0.2">
      <c r="A150" s="45"/>
      <c r="B150" s="29" t="s">
        <v>45</v>
      </c>
      <c r="C150" s="29" t="s">
        <v>401</v>
      </c>
      <c r="D150" s="94" t="s">
        <v>4</v>
      </c>
      <c r="E150" s="9">
        <f>'[1]ÜDM sahələr üzrə'!AI174</f>
        <v>6.8276823037621881</v>
      </c>
      <c r="F150" s="10">
        <f>'[1]ÜDM sahələr üzrə'!AO174</f>
        <v>6.1576763883423524</v>
      </c>
    </row>
    <row r="151" spans="1:7" customFormat="1" ht="25.5" hidden="1" x14ac:dyDescent="0.2">
      <c r="A151" s="43" t="s">
        <v>93</v>
      </c>
      <c r="B151" s="25" t="s">
        <v>94</v>
      </c>
      <c r="C151" s="172" t="s">
        <v>417</v>
      </c>
      <c r="D151" s="92"/>
      <c r="E151" s="17"/>
      <c r="F151" s="18"/>
      <c r="G151" s="168" t="s">
        <v>397</v>
      </c>
    </row>
    <row r="152" spans="1:7" customFormat="1" hidden="1" x14ac:dyDescent="0.2">
      <c r="A152" s="44" t="s">
        <v>52</v>
      </c>
      <c r="B152" s="26" t="s">
        <v>53</v>
      </c>
      <c r="C152" s="26" t="s">
        <v>406</v>
      </c>
      <c r="D152" s="93" t="s">
        <v>6</v>
      </c>
      <c r="E152" s="4">
        <f>'[1]ÜDM sahələr üzrə'!AI176</f>
        <v>931</v>
      </c>
      <c r="F152" s="5">
        <f>'[1]ÜDM sahələr üzrə'!AO176</f>
        <v>1215.4330772486612</v>
      </c>
    </row>
    <row r="153" spans="1:7" customFormat="1" hidden="1" x14ac:dyDescent="0.2">
      <c r="A153" s="44" t="s">
        <v>54</v>
      </c>
      <c r="B153" s="26" t="s">
        <v>55</v>
      </c>
      <c r="C153" s="26" t="s">
        <v>407</v>
      </c>
      <c r="D153" s="93" t="s">
        <v>6</v>
      </c>
      <c r="E153" s="4">
        <f>'[1]ÜDM sahələr üzrə'!AI177</f>
        <v>565.1</v>
      </c>
      <c r="F153" s="5">
        <f>'[1]ÜDM sahələr üzrə'!AO177</f>
        <v>737.74568416027751</v>
      </c>
    </row>
    <row r="154" spans="1:7" customFormat="1" hidden="1" x14ac:dyDescent="0.2">
      <c r="A154" s="44" t="s">
        <v>56</v>
      </c>
      <c r="B154" s="26" t="s">
        <v>57</v>
      </c>
      <c r="C154" s="26" t="s">
        <v>408</v>
      </c>
      <c r="D154" s="93" t="s">
        <v>6</v>
      </c>
      <c r="E154" s="4">
        <f>'[1]ÜDM sahələr üzrə'!AI178</f>
        <v>365.9</v>
      </c>
      <c r="F154" s="5">
        <f>'[1]ÜDM sahələr üzrə'!AO178</f>
        <v>477.68739308838366</v>
      </c>
    </row>
    <row r="155" spans="1:7" customFormat="1" hidden="1" x14ac:dyDescent="0.2">
      <c r="A155" s="44"/>
      <c r="B155" s="26" t="s">
        <v>58</v>
      </c>
      <c r="C155" s="26" t="s">
        <v>409</v>
      </c>
      <c r="D155" s="93" t="s">
        <v>4</v>
      </c>
      <c r="E155" s="4">
        <f>'[1]ÜDM sahələr üzrə'!AI179</f>
        <v>39.301825993555319</v>
      </c>
      <c r="F155" s="5">
        <f>'[1]ÜDM sahələr üzrə'!AO179</f>
        <v>39.301825993555319</v>
      </c>
    </row>
    <row r="156" spans="1:7" customFormat="1" hidden="1" x14ac:dyDescent="0.2">
      <c r="A156" s="44"/>
      <c r="B156" s="26" t="s">
        <v>7</v>
      </c>
      <c r="C156" s="26" t="s">
        <v>398</v>
      </c>
      <c r="D156" s="93" t="s">
        <v>4</v>
      </c>
      <c r="E156" s="4">
        <f>'[1]ÜDM sahələr üzrə'!AI180</f>
        <v>-12</v>
      </c>
      <c r="F156" s="5">
        <f>'[1]ÜDM sahələr üzrə'!AO180</f>
        <v>5.2016838250142428</v>
      </c>
    </row>
    <row r="157" spans="1:7" customFormat="1" hidden="1" x14ac:dyDescent="0.2">
      <c r="A157" s="45"/>
      <c r="B157" s="29" t="s">
        <v>45</v>
      </c>
      <c r="C157" s="29" t="s">
        <v>401</v>
      </c>
      <c r="D157" s="94" t="s">
        <v>4</v>
      </c>
      <c r="E157" s="9">
        <f>'[1]ÜDM sahələr üzrə'!AI181</f>
        <v>4.6289518232145213</v>
      </c>
      <c r="F157" s="10">
        <f>'[1]ÜDM sahələr üzrə'!AO181</f>
        <v>-3.2999014567720195</v>
      </c>
    </row>
    <row r="158" spans="1:7" customFormat="1" ht="38.25" hidden="1" x14ac:dyDescent="0.2">
      <c r="A158" s="43" t="s">
        <v>95</v>
      </c>
      <c r="B158" s="25" t="s">
        <v>96</v>
      </c>
      <c r="C158" s="25" t="s">
        <v>96</v>
      </c>
      <c r="D158" s="92"/>
      <c r="E158" s="17"/>
      <c r="F158" s="18"/>
    </row>
    <row r="159" spans="1:7" customFormat="1" hidden="1" x14ac:dyDescent="0.2">
      <c r="A159" s="44" t="s">
        <v>52</v>
      </c>
      <c r="B159" s="26" t="s">
        <v>53</v>
      </c>
      <c r="C159" s="26" t="s">
        <v>406</v>
      </c>
      <c r="D159" s="93" t="s">
        <v>6</v>
      </c>
      <c r="E159" s="4">
        <f>'[1]ÜDM sahələr üzrə'!AI183</f>
        <v>418.3</v>
      </c>
      <c r="F159" s="5">
        <f>'[1]ÜDM sahələr üzrə'!AO183</f>
        <v>777.02340517006655</v>
      </c>
    </row>
    <row r="160" spans="1:7" customFormat="1" hidden="1" x14ac:dyDescent="0.2">
      <c r="A160" s="44" t="s">
        <v>54</v>
      </c>
      <c r="B160" s="26" t="s">
        <v>55</v>
      </c>
      <c r="C160" s="26" t="s">
        <v>407</v>
      </c>
      <c r="D160" s="93" t="s">
        <v>6</v>
      </c>
      <c r="E160" s="4">
        <f>'[1]ÜDM sahələr üzrə'!AI184</f>
        <v>276.5</v>
      </c>
      <c r="F160" s="5">
        <f>'[1]ÜDM sahələr üzrə'!AO184</f>
        <v>513.61934384299161</v>
      </c>
    </row>
    <row r="161" spans="1:7" customFormat="1" hidden="1" x14ac:dyDescent="0.2">
      <c r="A161" s="44" t="s">
        <v>56</v>
      </c>
      <c r="B161" s="26" t="s">
        <v>57</v>
      </c>
      <c r="C161" s="26" t="s">
        <v>408</v>
      </c>
      <c r="D161" s="93" t="s">
        <v>6</v>
      </c>
      <c r="E161" s="4">
        <f>'[1]ÜDM sahələr üzrə'!AI185</f>
        <v>141.80000000000001</v>
      </c>
      <c r="F161" s="5">
        <f>'[1]ÜDM sahələr üzrə'!AO185</f>
        <v>263.40406132707494</v>
      </c>
    </row>
    <row r="162" spans="1:7" customFormat="1" hidden="1" x14ac:dyDescent="0.2">
      <c r="A162" s="44"/>
      <c r="B162" s="26" t="s">
        <v>58</v>
      </c>
      <c r="C162" s="26" t="s">
        <v>409</v>
      </c>
      <c r="D162" s="93" t="s">
        <v>4</v>
      </c>
      <c r="E162" s="4">
        <f>'[1]ÜDM sahələr üzrə'!AI186</f>
        <v>33.89911546736792</v>
      </c>
      <c r="F162" s="5">
        <f>'[1]ÜDM sahələr üzrə'!AO186</f>
        <v>33.89911546736792</v>
      </c>
    </row>
    <row r="163" spans="1:7" customFormat="1" hidden="1" x14ac:dyDescent="0.2">
      <c r="A163" s="44"/>
      <c r="B163" s="26" t="s">
        <v>7</v>
      </c>
      <c r="C163" s="26" t="s">
        <v>398</v>
      </c>
      <c r="D163" s="93" t="s">
        <v>4</v>
      </c>
      <c r="E163" s="4">
        <f>'[1]ÜDM sahələr üzrə'!AI187</f>
        <v>12.2</v>
      </c>
      <c r="F163" s="5">
        <f>'[1]ÜDM sahələr üzrə'!AO187</f>
        <v>8.6067689195644874</v>
      </c>
    </row>
    <row r="164" spans="1:7" customFormat="1" hidden="1" x14ac:dyDescent="0.2">
      <c r="A164" s="45"/>
      <c r="B164" s="29" t="s">
        <v>45</v>
      </c>
      <c r="C164" s="29" t="s">
        <v>401</v>
      </c>
      <c r="D164" s="94" t="s">
        <v>4</v>
      </c>
      <c r="E164" s="9">
        <f>'[1]ÜDM sahələr üzrə'!AI188</f>
        <v>5.5818393279693908</v>
      </c>
      <c r="F164" s="10">
        <f>'[1]ÜDM sahələr üzrə'!AO188</f>
        <v>-7.5389707432450734</v>
      </c>
    </row>
    <row r="165" spans="1:7" customFormat="1" ht="25.5" hidden="1" x14ac:dyDescent="0.2">
      <c r="A165" s="43" t="s">
        <v>97</v>
      </c>
      <c r="B165" s="25" t="s">
        <v>98</v>
      </c>
      <c r="C165" s="172" t="s">
        <v>418</v>
      </c>
      <c r="D165" s="92"/>
      <c r="E165" s="17"/>
      <c r="F165" s="18"/>
      <c r="G165" s="168" t="s">
        <v>397</v>
      </c>
    </row>
    <row r="166" spans="1:7" customFormat="1" hidden="1" x14ac:dyDescent="0.2">
      <c r="A166" s="44" t="s">
        <v>52</v>
      </c>
      <c r="B166" s="26" t="s">
        <v>53</v>
      </c>
      <c r="C166" s="26" t="s">
        <v>406</v>
      </c>
      <c r="D166" s="93" t="s">
        <v>6</v>
      </c>
      <c r="E166" s="4">
        <f>'[1]ÜDM sahələr üzrə'!AI190</f>
        <v>77</v>
      </c>
      <c r="F166" s="5">
        <f>'[1]ÜDM sahələr üzrə'!AO190</f>
        <v>99.025916732926831</v>
      </c>
    </row>
    <row r="167" spans="1:7" customFormat="1" hidden="1" x14ac:dyDescent="0.2">
      <c r="A167" s="44" t="s">
        <v>54</v>
      </c>
      <c r="B167" s="26" t="s">
        <v>55</v>
      </c>
      <c r="C167" s="26" t="s">
        <v>407</v>
      </c>
      <c r="D167" s="93" t="s">
        <v>6</v>
      </c>
      <c r="E167" s="4">
        <f>'[1]ÜDM sahələr üzrə'!AI191</f>
        <v>46.19</v>
      </c>
      <c r="F167" s="5">
        <f>'[1]ÜDM sahələr üzrə'!AO191</f>
        <v>59.402689531089486</v>
      </c>
    </row>
    <row r="168" spans="1:7" customFormat="1" hidden="1" x14ac:dyDescent="0.2">
      <c r="A168" s="44" t="s">
        <v>56</v>
      </c>
      <c r="B168" s="26" t="s">
        <v>57</v>
      </c>
      <c r="C168" s="26" t="s">
        <v>408</v>
      </c>
      <c r="D168" s="93" t="s">
        <v>6</v>
      </c>
      <c r="E168" s="4">
        <f>'[1]ÜDM sahələr üzrə'!AI192</f>
        <v>30.81</v>
      </c>
      <c r="F168" s="5">
        <f>'[1]ÜDM sahələr üzrə'!AO192</f>
        <v>39.623227201837345</v>
      </c>
    </row>
    <row r="169" spans="1:7" customFormat="1" hidden="1" x14ac:dyDescent="0.2">
      <c r="A169" s="44"/>
      <c r="B169" s="26" t="s">
        <v>58</v>
      </c>
      <c r="C169" s="26" t="s">
        <v>409</v>
      </c>
      <c r="D169" s="93" t="s">
        <v>4</v>
      </c>
      <c r="E169" s="4">
        <f>'[1]ÜDM sahələr üzrə'!AI193</f>
        <v>40.012987012987011</v>
      </c>
      <c r="F169" s="5">
        <f>'[1]ÜDM sahələr üzrə'!AO193</f>
        <v>40.012987012987011</v>
      </c>
    </row>
    <row r="170" spans="1:7" customFormat="1" hidden="1" x14ac:dyDescent="0.2">
      <c r="A170" s="44"/>
      <c r="B170" s="26" t="s">
        <v>7</v>
      </c>
      <c r="C170" s="26" t="s">
        <v>398</v>
      </c>
      <c r="D170" s="93" t="s">
        <v>4</v>
      </c>
      <c r="E170" s="4">
        <f>'[1]ÜDM sahələr üzrə'!AI194</f>
        <v>4.7</v>
      </c>
      <c r="F170" s="5">
        <f>'[1]ÜDM sahələr üzrə'!AO194</f>
        <v>4.6662454925109103</v>
      </c>
    </row>
    <row r="171" spans="1:7" customFormat="1" hidden="1" x14ac:dyDescent="0.2">
      <c r="A171" s="45"/>
      <c r="B171" s="29" t="s">
        <v>45</v>
      </c>
      <c r="C171" s="29" t="s">
        <v>401</v>
      </c>
      <c r="D171" s="94" t="s">
        <v>4</v>
      </c>
      <c r="E171" s="9">
        <f>'[1]ÜDM sahələr üzrə'!AI195</f>
        <v>11.381279702578368</v>
      </c>
      <c r="F171" s="10">
        <f>'[1]ÜDM sahələr üzrə'!AO195</f>
        <v>-0.50754653790738757</v>
      </c>
    </row>
    <row r="172" spans="1:7" customFormat="1" ht="25.5" hidden="1" x14ac:dyDescent="0.2">
      <c r="A172" s="43" t="s">
        <v>99</v>
      </c>
      <c r="B172" s="25" t="s">
        <v>100</v>
      </c>
      <c r="C172" s="25" t="s">
        <v>100</v>
      </c>
      <c r="D172" s="92"/>
      <c r="E172" s="17"/>
      <c r="F172" s="18"/>
    </row>
    <row r="173" spans="1:7" customFormat="1" hidden="1" x14ac:dyDescent="0.2">
      <c r="A173" s="44" t="s">
        <v>52</v>
      </c>
      <c r="B173" s="26" t="s">
        <v>53</v>
      </c>
      <c r="C173" s="26" t="s">
        <v>406</v>
      </c>
      <c r="D173" s="93" t="s">
        <v>6</v>
      </c>
      <c r="E173" s="4">
        <f>'[1]ÜDM sahələr üzrə'!AI197</f>
        <v>251.9</v>
      </c>
      <c r="F173" s="5">
        <f>'[1]ÜDM sahələr üzrə'!AO197</f>
        <v>506.78046985380115</v>
      </c>
    </row>
    <row r="174" spans="1:7" customFormat="1" hidden="1" x14ac:dyDescent="0.2">
      <c r="A174" s="44" t="s">
        <v>54</v>
      </c>
      <c r="B174" s="26" t="s">
        <v>55</v>
      </c>
      <c r="C174" s="26" t="s">
        <v>407</v>
      </c>
      <c r="D174" s="93" t="s">
        <v>6</v>
      </c>
      <c r="E174" s="4">
        <f>'[1]ÜDM sahələr üzrə'!AI198</f>
        <v>173.56</v>
      </c>
      <c r="F174" s="5">
        <f>'[1]ÜDM sahələr üzrə'!AO198</f>
        <v>349.17355437802985</v>
      </c>
    </row>
    <row r="175" spans="1:7" customFormat="1" hidden="1" x14ac:dyDescent="0.2">
      <c r="A175" s="44" t="s">
        <v>56</v>
      </c>
      <c r="B175" s="26" t="s">
        <v>57</v>
      </c>
      <c r="C175" s="26" t="s">
        <v>408</v>
      </c>
      <c r="D175" s="93" t="s">
        <v>6</v>
      </c>
      <c r="E175" s="4">
        <f>'[1]ÜDM sahələr üzrə'!AI199</f>
        <v>78.34</v>
      </c>
      <c r="F175" s="5">
        <f>'[1]ÜDM sahələr üzrə'!AO199</f>
        <v>157.60691547577127</v>
      </c>
    </row>
    <row r="176" spans="1:7" customFormat="1" hidden="1" x14ac:dyDescent="0.2">
      <c r="A176" s="44"/>
      <c r="B176" s="26" t="s">
        <v>58</v>
      </c>
      <c r="C176" s="26" t="s">
        <v>409</v>
      </c>
      <c r="D176" s="93" t="s">
        <v>4</v>
      </c>
      <c r="E176" s="4">
        <f>'[1]ÜDM sahələr üzrə'!AI200</f>
        <v>31.099642715363242</v>
      </c>
      <c r="F176" s="5">
        <f>'[1]ÜDM sahələr üzrə'!AO200</f>
        <v>31.099642715363242</v>
      </c>
    </row>
    <row r="177" spans="1:7" customFormat="1" hidden="1" x14ac:dyDescent="0.2">
      <c r="A177" s="44"/>
      <c r="B177" s="26" t="s">
        <v>7</v>
      </c>
      <c r="C177" s="26" t="s">
        <v>398</v>
      </c>
      <c r="D177" s="93" t="s">
        <v>4</v>
      </c>
      <c r="E177" s="4">
        <f>'[1]ÜDM sahələr üzrə'!AI201</f>
        <v>13.96</v>
      </c>
      <c r="F177" s="5">
        <f>'[1]ÜDM sahələr üzrə'!AO201</f>
        <v>4.0816726841718776</v>
      </c>
    </row>
    <row r="178" spans="1:7" customFormat="1" hidden="1" x14ac:dyDescent="0.2">
      <c r="A178" s="45"/>
      <c r="B178" s="29" t="s">
        <v>45</v>
      </c>
      <c r="C178" s="29" t="s">
        <v>401</v>
      </c>
      <c r="D178" s="94" t="s">
        <v>4</v>
      </c>
      <c r="E178" s="9">
        <f>'[1]ÜDM sahələr üzrə'!AI202</f>
        <v>1.8571917964420805</v>
      </c>
      <c r="F178" s="10">
        <f>'[1]ÜDM sahələr üzrə'!AO202</f>
        <v>11.926321613506559</v>
      </c>
    </row>
    <row r="179" spans="1:7" customFormat="1" ht="25.5" hidden="1" x14ac:dyDescent="0.2">
      <c r="A179" s="43" t="s">
        <v>101</v>
      </c>
      <c r="B179" s="25" t="s">
        <v>102</v>
      </c>
      <c r="C179" s="172" t="s">
        <v>419</v>
      </c>
      <c r="D179" s="92"/>
      <c r="E179" s="17"/>
      <c r="F179" s="18"/>
      <c r="G179" s="168" t="s">
        <v>397</v>
      </c>
    </row>
    <row r="180" spans="1:7" customFormat="1" hidden="1" x14ac:dyDescent="0.2">
      <c r="A180" s="44" t="s">
        <v>52</v>
      </c>
      <c r="B180" s="26" t="s">
        <v>53</v>
      </c>
      <c r="C180" s="26" t="s">
        <v>406</v>
      </c>
      <c r="D180" s="93" t="s">
        <v>6</v>
      </c>
      <c r="E180" s="4">
        <f>'[1]ÜDM sahələr üzrə'!AI204</f>
        <v>534.70000000000005</v>
      </c>
      <c r="F180" s="5">
        <f>'[1]ÜDM sahələr üzrə'!AO204</f>
        <v>807.13706364614006</v>
      </c>
    </row>
    <row r="181" spans="1:7" customFormat="1" hidden="1" x14ac:dyDescent="0.2">
      <c r="A181" s="44" t="s">
        <v>54</v>
      </c>
      <c r="B181" s="26" t="s">
        <v>55</v>
      </c>
      <c r="C181" s="26" t="s">
        <v>407</v>
      </c>
      <c r="D181" s="93" t="s">
        <v>6</v>
      </c>
      <c r="E181" s="4">
        <f>'[1]ÜDM sahələr üzrə'!AI205</f>
        <v>332.00000000000006</v>
      </c>
      <c r="F181" s="5">
        <f>'[1]ÜDM sahələr üzrə'!AO205</f>
        <v>501.1586031990247</v>
      </c>
    </row>
    <row r="182" spans="1:7" customFormat="1" hidden="1" x14ac:dyDescent="0.2">
      <c r="A182" s="44" t="s">
        <v>56</v>
      </c>
      <c r="B182" s="26" t="s">
        <v>57</v>
      </c>
      <c r="C182" s="26" t="s">
        <v>408</v>
      </c>
      <c r="D182" s="93" t="s">
        <v>6</v>
      </c>
      <c r="E182" s="4">
        <f>'[1]ÜDM sahələr üzrə'!AI206</f>
        <v>202.7</v>
      </c>
      <c r="F182" s="5">
        <f>'[1]ÜDM sahələr üzrə'!AO206</f>
        <v>305.97846044711537</v>
      </c>
    </row>
    <row r="183" spans="1:7" customFormat="1" hidden="1" x14ac:dyDescent="0.2">
      <c r="A183" s="44"/>
      <c r="B183" s="26" t="s">
        <v>58</v>
      </c>
      <c r="C183" s="26" t="s">
        <v>409</v>
      </c>
      <c r="D183" s="93" t="s">
        <v>4</v>
      </c>
      <c r="E183" s="4">
        <f>'[1]ÜDM sahələr üzrə'!AI207</f>
        <v>37.909107910978115</v>
      </c>
      <c r="F183" s="5">
        <f>'[1]ÜDM sahələr üzrə'!AO207</f>
        <v>37.909107910978115</v>
      </c>
    </row>
    <row r="184" spans="1:7" customFormat="1" hidden="1" x14ac:dyDescent="0.2">
      <c r="A184" s="44"/>
      <c r="B184" s="26" t="s">
        <v>7</v>
      </c>
      <c r="C184" s="26" t="s">
        <v>398</v>
      </c>
      <c r="D184" s="93" t="s">
        <v>4</v>
      </c>
      <c r="E184" s="4">
        <f>'[1]ÜDM sahələr üzrə'!AI208</f>
        <v>-5.66</v>
      </c>
      <c r="F184" s="5">
        <f>'[1]ÜDM sahələr üzrə'!AO208</f>
        <v>4.8418547557840697</v>
      </c>
    </row>
    <row r="185" spans="1:7" customFormat="1" hidden="1" x14ac:dyDescent="0.2">
      <c r="A185" s="45"/>
      <c r="B185" s="29" t="s">
        <v>45</v>
      </c>
      <c r="C185" s="29" t="s">
        <v>401</v>
      </c>
      <c r="D185" s="94" t="s">
        <v>4</v>
      </c>
      <c r="E185" s="9">
        <f>'[1]ÜDM sahələr üzrə'!AI209</f>
        <v>0.63753655992400127</v>
      </c>
      <c r="F185" s="10">
        <f>'[1]ÜDM sahələr üzrə'!AO209</f>
        <v>1.8500000000000369</v>
      </c>
    </row>
    <row r="186" spans="1:7" customFormat="1" ht="25.5" hidden="1" x14ac:dyDescent="0.2">
      <c r="A186" s="43" t="s">
        <v>25</v>
      </c>
      <c r="B186" s="25" t="s">
        <v>103</v>
      </c>
      <c r="C186" s="172" t="s">
        <v>420</v>
      </c>
      <c r="D186" s="92"/>
      <c r="E186" s="17">
        <f>'[1]ÜDM sahələr üzrə'!AI210</f>
        <v>0</v>
      </c>
      <c r="F186" s="18">
        <f>'[1]ÜDM sahələr üzrə'!AO210</f>
        <v>0</v>
      </c>
      <c r="G186" s="168" t="s">
        <v>397</v>
      </c>
    </row>
    <row r="187" spans="1:7" customFormat="1" hidden="1" x14ac:dyDescent="0.2">
      <c r="A187" s="44" t="s">
        <v>52</v>
      </c>
      <c r="B187" s="26" t="s">
        <v>53</v>
      </c>
      <c r="C187" s="26" t="s">
        <v>406</v>
      </c>
      <c r="D187" s="93" t="s">
        <v>6</v>
      </c>
      <c r="E187" s="4">
        <f>'[1]ÜDM sahələr üzrə'!AI211</f>
        <v>274.2</v>
      </c>
      <c r="F187" s="5">
        <f>'[1]ÜDM sahələr üzrə'!AO211</f>
        <v>992.44716703625977</v>
      </c>
    </row>
    <row r="188" spans="1:7" customFormat="1" hidden="1" x14ac:dyDescent="0.2">
      <c r="A188" s="44" t="s">
        <v>54</v>
      </c>
      <c r="B188" s="26" t="s">
        <v>55</v>
      </c>
      <c r="C188" s="26" t="s">
        <v>407</v>
      </c>
      <c r="D188" s="93" t="s">
        <v>6</v>
      </c>
      <c r="E188" s="4">
        <f>'[1]ÜDM sahələr üzrə'!AI212</f>
        <v>208.95</v>
      </c>
      <c r="F188" s="5">
        <f>'[1]ÜDM sahələr üzrə'!AO212</f>
        <v>756.2794877907603</v>
      </c>
    </row>
    <row r="189" spans="1:7" customFormat="1" hidden="1" x14ac:dyDescent="0.2">
      <c r="A189" s="44" t="s">
        <v>56</v>
      </c>
      <c r="B189" s="26" t="s">
        <v>57</v>
      </c>
      <c r="C189" s="26" t="s">
        <v>408</v>
      </c>
      <c r="D189" s="93" t="s">
        <v>6</v>
      </c>
      <c r="E189" s="4">
        <f>'[1]ÜDM sahələr üzrə'!AI213</f>
        <v>65.25</v>
      </c>
      <c r="F189" s="5">
        <f>'[1]ÜDM sahələr üzrə'!AO213</f>
        <v>236.1676792454995</v>
      </c>
    </row>
    <row r="190" spans="1:7" customFormat="1" hidden="1" x14ac:dyDescent="0.2">
      <c r="A190" s="44"/>
      <c r="B190" s="26" t="s">
        <v>58</v>
      </c>
      <c r="C190" s="26" t="s">
        <v>409</v>
      </c>
      <c r="D190" s="93" t="s">
        <v>4</v>
      </c>
      <c r="E190" s="4">
        <f>'[1]ÜDM sahələr üzrə'!AI214</f>
        <v>23.796498905908098</v>
      </c>
      <c r="F190" s="5">
        <f>'[1]ÜDM sahələr üzrə'!AO214</f>
        <v>23.796498905908098</v>
      </c>
    </row>
    <row r="191" spans="1:7" customFormat="1" hidden="1" x14ac:dyDescent="0.2">
      <c r="A191" s="44"/>
      <c r="B191" s="26" t="s">
        <v>7</v>
      </c>
      <c r="C191" s="26" t="s">
        <v>398</v>
      </c>
      <c r="D191" s="93" t="s">
        <v>4</v>
      </c>
      <c r="E191" s="4">
        <f>'[1]ÜDM sahələr üzrə'!AI215</f>
        <v>44.74</v>
      </c>
      <c r="F191" s="5">
        <f>'[1]ÜDM sahələr üzrə'!AO215</f>
        <v>-27.785011186337925</v>
      </c>
    </row>
    <row r="192" spans="1:7" customFormat="1" hidden="1" x14ac:dyDescent="0.2">
      <c r="A192" s="45"/>
      <c r="B192" s="29" t="s">
        <v>45</v>
      </c>
      <c r="C192" s="29" t="s">
        <v>401</v>
      </c>
      <c r="D192" s="94" t="s">
        <v>4</v>
      </c>
      <c r="E192" s="9">
        <f>'[1]ÜDM sahələr üzrə'!AI216</f>
        <v>-2.1045937025572954</v>
      </c>
      <c r="F192" s="10">
        <f>'[1]ÜDM sahələr üzrə'!AO216</f>
        <v>7.2035648256658931</v>
      </c>
    </row>
    <row r="193" spans="1:7" customFormat="1" ht="25.5" hidden="1" x14ac:dyDescent="0.2">
      <c r="A193" s="43" t="s">
        <v>25</v>
      </c>
      <c r="B193" s="25" t="s">
        <v>104</v>
      </c>
      <c r="C193" s="25" t="s">
        <v>104</v>
      </c>
      <c r="D193" s="92"/>
      <c r="E193" s="17"/>
      <c r="F193" s="18"/>
    </row>
    <row r="194" spans="1:7" customFormat="1" hidden="1" x14ac:dyDescent="0.2">
      <c r="A194" s="44" t="s">
        <v>52</v>
      </c>
      <c r="B194" s="26" t="s">
        <v>53</v>
      </c>
      <c r="C194" s="26" t="s">
        <v>406</v>
      </c>
      <c r="D194" s="93" t="s">
        <v>6</v>
      </c>
      <c r="E194" s="4">
        <f>'[1]ÜDM sahələr üzrə'!AI218</f>
        <v>17.7</v>
      </c>
      <c r="F194" s="5">
        <f>'[1]ÜDM sahələr üzrə'!AO218</f>
        <v>42.644164636300133</v>
      </c>
    </row>
    <row r="195" spans="1:7" customFormat="1" hidden="1" x14ac:dyDescent="0.2">
      <c r="A195" s="44" t="s">
        <v>54</v>
      </c>
      <c r="B195" s="26" t="s">
        <v>55</v>
      </c>
      <c r="C195" s="26" t="s">
        <v>407</v>
      </c>
      <c r="D195" s="93" t="s">
        <v>6</v>
      </c>
      <c r="E195" s="4">
        <f>'[1]ÜDM sahələr üzrə'!AI219</f>
        <v>7.7500999999999998</v>
      </c>
      <c r="F195" s="5">
        <f>'[1]ÜDM sahələr üzrə'!AO219</f>
        <v>18.672120923603938</v>
      </c>
    </row>
    <row r="196" spans="1:7" customFormat="1" hidden="1" x14ac:dyDescent="0.2">
      <c r="A196" s="44" t="s">
        <v>56</v>
      </c>
      <c r="B196" s="26" t="s">
        <v>57</v>
      </c>
      <c r="C196" s="26" t="s">
        <v>408</v>
      </c>
      <c r="D196" s="93" t="s">
        <v>6</v>
      </c>
      <c r="E196" s="4">
        <f>'[1]ÜDM sahələr üzrə'!AI220</f>
        <v>9.9498999999999995</v>
      </c>
      <c r="F196" s="5">
        <f>'[1]ÜDM sahələr üzrə'!AO220</f>
        <v>23.972043712696195</v>
      </c>
    </row>
    <row r="197" spans="1:7" customFormat="1" hidden="1" x14ac:dyDescent="0.2">
      <c r="A197" s="44"/>
      <c r="B197" s="26" t="s">
        <v>58</v>
      </c>
      <c r="C197" s="26" t="s">
        <v>409</v>
      </c>
      <c r="D197" s="93" t="s">
        <v>4</v>
      </c>
      <c r="E197" s="4">
        <f>'[1]ÜDM sahələr üzrə'!AI221</f>
        <v>56.214124293785304</v>
      </c>
      <c r="F197" s="5">
        <f>'[1]ÜDM sahələr üzrə'!AO221</f>
        <v>56.214124293785304</v>
      </c>
    </row>
    <row r="198" spans="1:7" customFormat="1" hidden="1" x14ac:dyDescent="0.2">
      <c r="A198" s="44"/>
      <c r="B198" s="26" t="s">
        <v>7</v>
      </c>
      <c r="C198" s="26" t="s">
        <v>398</v>
      </c>
      <c r="D198" s="93" t="s">
        <v>4</v>
      </c>
      <c r="E198" s="4">
        <f>'[1]ÜDM sahələr üzrə'!AI222</f>
        <v>103.55</v>
      </c>
      <c r="F198" s="5">
        <f>'[1]ÜDM sahələr üzrə'!AO222</f>
        <v>14.516670766653846</v>
      </c>
    </row>
    <row r="199" spans="1:7" customFormat="1" hidden="1" x14ac:dyDescent="0.2">
      <c r="A199" s="45"/>
      <c r="B199" s="29" t="s">
        <v>45</v>
      </c>
      <c r="C199" s="29" t="s">
        <v>401</v>
      </c>
      <c r="D199" s="94" t="s">
        <v>4</v>
      </c>
      <c r="E199" s="9">
        <f>'[1]ÜDM sahələr üzrə'!AI223</f>
        <v>-0.20039360557935026</v>
      </c>
      <c r="F199" s="10">
        <f>'[1]ÜDM sahələr üzrə'!AO223</f>
        <v>0.73368945215590031</v>
      </c>
    </row>
    <row r="200" spans="1:7" customFormat="1" hidden="1" x14ac:dyDescent="0.2">
      <c r="A200" s="43" t="s">
        <v>24</v>
      </c>
      <c r="B200" s="25" t="s">
        <v>105</v>
      </c>
      <c r="C200" s="172" t="s">
        <v>421</v>
      </c>
      <c r="D200" s="92"/>
      <c r="E200" s="17"/>
      <c r="F200" s="18"/>
      <c r="G200" s="168" t="s">
        <v>397</v>
      </c>
    </row>
    <row r="201" spans="1:7" customFormat="1" hidden="1" x14ac:dyDescent="0.2">
      <c r="A201" s="44" t="s">
        <v>52</v>
      </c>
      <c r="B201" s="26" t="s">
        <v>53</v>
      </c>
      <c r="C201" s="26" t="s">
        <v>406</v>
      </c>
      <c r="D201" s="93" t="s">
        <v>6</v>
      </c>
      <c r="E201" s="4">
        <f>'[1]ÜDM sahələr üzrə'!AI225</f>
        <v>391.2</v>
      </c>
      <c r="F201" s="5">
        <f>'[1]ÜDM sahələr üzrə'!AO225</f>
        <v>608.70890259524697</v>
      </c>
    </row>
    <row r="202" spans="1:7" customFormat="1" hidden="1" x14ac:dyDescent="0.2">
      <c r="A202" s="44" t="s">
        <v>54</v>
      </c>
      <c r="B202" s="26" t="s">
        <v>55</v>
      </c>
      <c r="C202" s="26" t="s">
        <v>407</v>
      </c>
      <c r="D202" s="93" t="s">
        <v>6</v>
      </c>
      <c r="E202" s="4">
        <f>'[1]ÜDM sahələr üzrə'!AI226</f>
        <v>273.39999999999998</v>
      </c>
      <c r="F202" s="5">
        <f>'[1]ÜDM sahələr üzrə'!AO226</f>
        <v>425.41158990168844</v>
      </c>
    </row>
    <row r="203" spans="1:7" customFormat="1" hidden="1" x14ac:dyDescent="0.2">
      <c r="A203" s="44" t="s">
        <v>56</v>
      </c>
      <c r="B203" s="26" t="s">
        <v>57</v>
      </c>
      <c r="C203" s="26" t="s">
        <v>408</v>
      </c>
      <c r="D203" s="93" t="s">
        <v>6</v>
      </c>
      <c r="E203" s="4">
        <f>'[1]ÜDM sahələr üzrə'!AI227</f>
        <v>117.8</v>
      </c>
      <c r="F203" s="5">
        <f>'[1]ÜDM sahələr üzrə'!AO227</f>
        <v>183.29731269355852</v>
      </c>
    </row>
    <row r="204" spans="1:7" customFormat="1" hidden="1" x14ac:dyDescent="0.2">
      <c r="A204" s="44"/>
      <c r="B204" s="26" t="s">
        <v>58</v>
      </c>
      <c r="C204" s="26" t="s">
        <v>409</v>
      </c>
      <c r="D204" s="93" t="s">
        <v>4</v>
      </c>
      <c r="E204" s="4">
        <f>'[1]ÜDM sahələr üzrə'!AI228</f>
        <v>30.11247443762781</v>
      </c>
      <c r="F204" s="5">
        <f>'[1]ÜDM sahələr üzrə'!AO228</f>
        <v>30.11247443762781</v>
      </c>
    </row>
    <row r="205" spans="1:7" customFormat="1" hidden="1" x14ac:dyDescent="0.2">
      <c r="A205" s="44"/>
      <c r="B205" s="26" t="s">
        <v>7</v>
      </c>
      <c r="C205" s="26" t="s">
        <v>398</v>
      </c>
      <c r="D205" s="93" t="s">
        <v>4</v>
      </c>
      <c r="E205" s="4">
        <f>'[1]ÜDM sahələr üzrə'!AI229</f>
        <v>45.9</v>
      </c>
      <c r="F205" s="5">
        <f>'[1]ÜDM sahələr üzrə'!AO229</f>
        <v>1.2470644058561788</v>
      </c>
    </row>
    <row r="206" spans="1:7" customFormat="1" hidden="1" x14ac:dyDescent="0.2">
      <c r="A206" s="45"/>
      <c r="B206" s="29" t="s">
        <v>45</v>
      </c>
      <c r="C206" s="29" t="s">
        <v>401</v>
      </c>
      <c r="D206" s="94" t="s">
        <v>4</v>
      </c>
      <c r="E206" s="9">
        <f>'[1]ÜDM sahələr üzrə'!AI230</f>
        <v>-12.085983192153478</v>
      </c>
      <c r="F206" s="10">
        <f>'[1]ÜDM sahələr üzrə'!AO230</f>
        <v>7.2035648256658931</v>
      </c>
    </row>
    <row r="207" spans="1:7" customFormat="1" ht="25.5" hidden="1" x14ac:dyDescent="0.2">
      <c r="A207" s="43" t="s">
        <v>23</v>
      </c>
      <c r="B207" s="25" t="s">
        <v>37</v>
      </c>
      <c r="C207" s="25" t="s">
        <v>37</v>
      </c>
      <c r="D207" s="92"/>
      <c r="E207" s="17"/>
      <c r="F207" s="18"/>
    </row>
    <row r="208" spans="1:7" customFormat="1" hidden="1" x14ac:dyDescent="0.2">
      <c r="A208" s="44" t="s">
        <v>52</v>
      </c>
      <c r="B208" s="26" t="s">
        <v>53</v>
      </c>
      <c r="C208" s="26" t="s">
        <v>406</v>
      </c>
      <c r="D208" s="93" t="s">
        <v>6</v>
      </c>
      <c r="E208" s="4">
        <f>'[1]ÜDM sahələr üzrə'!AI232</f>
        <v>91.9</v>
      </c>
      <c r="F208" s="5">
        <f>'[1]ÜDM sahələr üzrə'!AO232</f>
        <v>145.10665532607018</v>
      </c>
    </row>
    <row r="209" spans="1:7" customFormat="1" hidden="1" x14ac:dyDescent="0.2">
      <c r="A209" s="44" t="s">
        <v>54</v>
      </c>
      <c r="B209" s="26" t="s">
        <v>55</v>
      </c>
      <c r="C209" s="26" t="s">
        <v>407</v>
      </c>
      <c r="D209" s="93" t="s">
        <v>6</v>
      </c>
      <c r="E209" s="4">
        <f>'[1]ÜDM sahələr üzrə'!AI233</f>
        <v>58.850000000000009</v>
      </c>
      <c r="F209" s="5">
        <f>'[1]ÜDM sahələr üzrə'!AO233</f>
        <v>92.921944134268017</v>
      </c>
    </row>
    <row r="210" spans="1:7" customFormat="1" hidden="1" x14ac:dyDescent="0.2">
      <c r="A210" s="44" t="s">
        <v>56</v>
      </c>
      <c r="B210" s="26" t="s">
        <v>57</v>
      </c>
      <c r="C210" s="26" t="s">
        <v>408</v>
      </c>
      <c r="D210" s="93" t="s">
        <v>6</v>
      </c>
      <c r="E210" s="4">
        <f>'[1]ÜDM sahələr üzrə'!AI234</f>
        <v>33.049999999999997</v>
      </c>
      <c r="F210" s="5">
        <f>'[1]ÜDM sahələr üzrə'!AO234</f>
        <v>52.184711191802172</v>
      </c>
    </row>
    <row r="211" spans="1:7" customFormat="1" hidden="1" x14ac:dyDescent="0.2">
      <c r="A211" s="44"/>
      <c r="B211" s="26" t="s">
        <v>58</v>
      </c>
      <c r="C211" s="26" t="s">
        <v>409</v>
      </c>
      <c r="D211" s="93" t="s">
        <v>4</v>
      </c>
      <c r="E211" s="4">
        <f>'[1]ÜDM sahələr üzrə'!AI235</f>
        <v>35.963003264417843</v>
      </c>
      <c r="F211" s="5">
        <f>'[1]ÜDM sahələr üzrə'!AO235</f>
        <v>35.963003264417843</v>
      </c>
    </row>
    <row r="212" spans="1:7" customFormat="1" hidden="1" x14ac:dyDescent="0.2">
      <c r="A212" s="44"/>
      <c r="B212" s="26" t="s">
        <v>7</v>
      </c>
      <c r="C212" s="26" t="s">
        <v>398</v>
      </c>
      <c r="D212" s="93" t="s">
        <v>4</v>
      </c>
      <c r="E212" s="4">
        <f>'[1]ÜDM sahələr üzrə'!AI236</f>
        <v>1.94</v>
      </c>
      <c r="F212" s="5">
        <f>'[1]ÜDM sahələr üzrə'!AO236</f>
        <v>-0.69309480633098985</v>
      </c>
    </row>
    <row r="213" spans="1:7" customFormat="1" hidden="1" x14ac:dyDescent="0.2">
      <c r="A213" s="45"/>
      <c r="B213" s="29" t="s">
        <v>45</v>
      </c>
      <c r="C213" s="29" t="s">
        <v>401</v>
      </c>
      <c r="D213" s="94" t="s">
        <v>4</v>
      </c>
      <c r="E213" s="9">
        <f>'[1]ÜDM sahələr üzrə'!AI237</f>
        <v>-0.15081004128168729</v>
      </c>
      <c r="F213" s="10">
        <f>'[1]ÜDM sahələr üzrə'!AO237</f>
        <v>0.73368945215590031</v>
      </c>
    </row>
    <row r="214" spans="1:7" customFormat="1" ht="25.5" hidden="1" x14ac:dyDescent="0.2">
      <c r="A214" s="43" t="s">
        <v>26</v>
      </c>
      <c r="B214" s="25" t="s">
        <v>106</v>
      </c>
      <c r="C214" s="172" t="s">
        <v>422</v>
      </c>
      <c r="D214" s="92"/>
      <c r="E214" s="17"/>
      <c r="F214" s="18"/>
      <c r="G214" s="168" t="s">
        <v>397</v>
      </c>
    </row>
    <row r="215" spans="1:7" customFormat="1" hidden="1" x14ac:dyDescent="0.2">
      <c r="A215" s="44" t="s">
        <v>52</v>
      </c>
      <c r="B215" s="26" t="s">
        <v>53</v>
      </c>
      <c r="C215" s="26" t="s">
        <v>406</v>
      </c>
      <c r="D215" s="93" t="s">
        <v>6</v>
      </c>
      <c r="E215" s="4">
        <f>'[1]ÜDM sahələr üzrə'!AI239</f>
        <v>642.4</v>
      </c>
      <c r="F215" s="5">
        <f>'[1]ÜDM sahələr üzrə'!AO239</f>
        <v>860.79080790747378</v>
      </c>
    </row>
    <row r="216" spans="1:7" customFormat="1" hidden="1" x14ac:dyDescent="0.2">
      <c r="A216" s="44" t="s">
        <v>54</v>
      </c>
      <c r="B216" s="26" t="s">
        <v>55</v>
      </c>
      <c r="C216" s="26" t="s">
        <v>407</v>
      </c>
      <c r="D216" s="93" t="s">
        <v>6</v>
      </c>
      <c r="E216" s="4">
        <f>'[1]ÜDM sahələr üzrə'!AI240</f>
        <v>362.29999999999995</v>
      </c>
      <c r="F216" s="5">
        <f>'[1]ÜDM sahələr üzrə'!AO240</f>
        <v>485.46779219314715</v>
      </c>
    </row>
    <row r="217" spans="1:7" customFormat="1" hidden="1" x14ac:dyDescent="0.2">
      <c r="A217" s="44" t="s">
        <v>56</v>
      </c>
      <c r="B217" s="26" t="s">
        <v>57</v>
      </c>
      <c r="C217" s="26" t="s">
        <v>408</v>
      </c>
      <c r="D217" s="93" t="s">
        <v>6</v>
      </c>
      <c r="E217" s="4">
        <f>'[1]ÜDM sahələr üzrə'!AI241</f>
        <v>280.10000000000002</v>
      </c>
      <c r="F217" s="5">
        <f>'[1]ÜDM sahələr üzrə'!AO241</f>
        <v>375.32301571432663</v>
      </c>
    </row>
    <row r="218" spans="1:7" customFormat="1" hidden="1" x14ac:dyDescent="0.2">
      <c r="A218" s="44"/>
      <c r="B218" s="26" t="s">
        <v>58</v>
      </c>
      <c r="C218" s="26" t="s">
        <v>409</v>
      </c>
      <c r="D218" s="93" t="s">
        <v>4</v>
      </c>
      <c r="E218" s="4">
        <f>'[1]ÜDM sahələr üzrə'!AI242</f>
        <v>43.602117061021175</v>
      </c>
      <c r="F218" s="5">
        <f>'[1]ÜDM sahələr üzrə'!AO242</f>
        <v>43.602117061021175</v>
      </c>
    </row>
    <row r="219" spans="1:7" customFormat="1" hidden="1" x14ac:dyDescent="0.2">
      <c r="A219" s="44"/>
      <c r="B219" s="26" t="s">
        <v>7</v>
      </c>
      <c r="C219" s="26" t="s">
        <v>398</v>
      </c>
      <c r="D219" s="93" t="s">
        <v>4</v>
      </c>
      <c r="E219" s="4">
        <f>'[1]ÜDM sahələr üzrə'!AI243</f>
        <v>10.6</v>
      </c>
      <c r="F219" s="5">
        <f>'[1]ÜDM sahələr üzrə'!AO243</f>
        <v>-1.0152668845502859</v>
      </c>
    </row>
    <row r="220" spans="1:7" customFormat="1" hidden="1" x14ac:dyDescent="0.2">
      <c r="A220" s="45"/>
      <c r="B220" s="29" t="s">
        <v>45</v>
      </c>
      <c r="C220" s="29" t="s">
        <v>401</v>
      </c>
      <c r="D220" s="94" t="s">
        <v>4</v>
      </c>
      <c r="E220" s="9">
        <f>'[1]ÜDM sahələr üzrə'!AI244</f>
        <v>-0.41094263656074759</v>
      </c>
      <c r="F220" s="10">
        <f>'[1]ÜDM sahələr üzrə'!AO244</f>
        <v>1.6291000250639627</v>
      </c>
    </row>
    <row r="221" spans="1:7" customFormat="1" ht="38.25" x14ac:dyDescent="0.2">
      <c r="A221" s="62" t="s">
        <v>17</v>
      </c>
      <c r="B221" s="68" t="s">
        <v>107</v>
      </c>
      <c r="C221" s="68" t="s">
        <v>107</v>
      </c>
      <c r="D221" s="89"/>
      <c r="E221" s="66"/>
      <c r="F221" s="67"/>
    </row>
    <row r="222" spans="1:7" customFormat="1" x14ac:dyDescent="0.2">
      <c r="A222" s="40" t="s">
        <v>52</v>
      </c>
      <c r="B222" s="3" t="s">
        <v>53</v>
      </c>
      <c r="C222" s="3" t="s">
        <v>406</v>
      </c>
      <c r="D222" s="86" t="s">
        <v>6</v>
      </c>
      <c r="E222" s="4">
        <f>'[1]ÜDM sahələr üzrə'!AI246</f>
        <v>3184.1</v>
      </c>
      <c r="F222" s="5">
        <f>'[1]ÜDM sahələr üzrə'!AO246</f>
        <v>4172.0089306103782</v>
      </c>
    </row>
    <row r="223" spans="1:7" customFormat="1" x14ac:dyDescent="0.2">
      <c r="A223" s="40" t="s">
        <v>54</v>
      </c>
      <c r="B223" s="3" t="s">
        <v>55</v>
      </c>
      <c r="C223" s="3" t="s">
        <v>407</v>
      </c>
      <c r="D223" s="86" t="s">
        <v>6</v>
      </c>
      <c r="E223" s="4">
        <f>'[1]ÜDM sahələr üzrə'!AI247</f>
        <v>1862.6999999999998</v>
      </c>
      <c r="F223" s="5">
        <f>'[1]ÜDM sahələr üzrə'!AO247</f>
        <v>2440.6271898018126</v>
      </c>
    </row>
    <row r="224" spans="1:7" customFormat="1" x14ac:dyDescent="0.2">
      <c r="A224" s="40" t="s">
        <v>56</v>
      </c>
      <c r="B224" s="3" t="s">
        <v>57</v>
      </c>
      <c r="C224" s="3" t="s">
        <v>408</v>
      </c>
      <c r="D224" s="86" t="s">
        <v>6</v>
      </c>
      <c r="E224" s="4">
        <f>'[1]ÜDM sahələr üzrə'!AI248</f>
        <v>1321.4</v>
      </c>
      <c r="F224" s="5">
        <f>'[1]ÜDM sahələr üzrə'!AO248</f>
        <v>1731.3817408085656</v>
      </c>
    </row>
    <row r="225" spans="1:6" customFormat="1" x14ac:dyDescent="0.2">
      <c r="A225" s="40"/>
      <c r="B225" s="3" t="s">
        <v>58</v>
      </c>
      <c r="C225" s="3" t="s">
        <v>409</v>
      </c>
      <c r="D225" s="86" t="s">
        <v>4</v>
      </c>
      <c r="E225" s="4">
        <f>'[1]ÜDM sahələr üzrə'!AI249</f>
        <v>41.499952890926792</v>
      </c>
      <c r="F225" s="5">
        <f>'[1]ÜDM sahələr üzrə'!AO249</f>
        <v>41.499952890926792</v>
      </c>
    </row>
    <row r="226" spans="1:6" customFormat="1" x14ac:dyDescent="0.2">
      <c r="A226" s="40"/>
      <c r="B226" s="2" t="s">
        <v>7</v>
      </c>
      <c r="C226" s="2" t="s">
        <v>398</v>
      </c>
      <c r="D226" s="86" t="s">
        <v>4</v>
      </c>
      <c r="E226" s="4">
        <f>'[1]ÜDM sahələr üzrə'!AI250</f>
        <v>-1.7</v>
      </c>
      <c r="F226" s="5">
        <f>'[1]ÜDM sahələr üzrə'!AO250</f>
        <v>3.3145940080428886</v>
      </c>
    </row>
    <row r="227" spans="1:6" customFormat="1" x14ac:dyDescent="0.2">
      <c r="A227" s="41"/>
      <c r="B227" s="7" t="s">
        <v>45</v>
      </c>
      <c r="C227" s="7" t="s">
        <v>401</v>
      </c>
      <c r="D227" s="87" t="s">
        <v>4</v>
      </c>
      <c r="E227" s="9">
        <f>'[1]ÜDM sahələr üzrə'!AI251</f>
        <v>1.8187821086692963</v>
      </c>
      <c r="F227" s="10">
        <f>'[1]ÜDM sahələr üzrə'!AO251</f>
        <v>0</v>
      </c>
    </row>
    <row r="228" spans="1:6" customFormat="1" ht="25.5" x14ac:dyDescent="0.2">
      <c r="A228" s="62" t="s">
        <v>18</v>
      </c>
      <c r="B228" s="68" t="s">
        <v>108</v>
      </c>
      <c r="C228" s="68" t="s">
        <v>108</v>
      </c>
      <c r="D228" s="89"/>
      <c r="E228" s="66"/>
      <c r="F228" s="67"/>
    </row>
    <row r="229" spans="1:6" customFormat="1" x14ac:dyDescent="0.2">
      <c r="A229" s="40" t="s">
        <v>52</v>
      </c>
      <c r="B229" s="3" t="s">
        <v>53</v>
      </c>
      <c r="C229" s="3" t="s">
        <v>406</v>
      </c>
      <c r="D229" s="86" t="s">
        <v>6</v>
      </c>
      <c r="E229" s="4">
        <f>'[1]ÜDM sahələr üzrə'!AI253</f>
        <v>668</v>
      </c>
      <c r="F229" s="5">
        <f>'[1]ÜDM sahələr üzrə'!AO253</f>
        <v>690.07939037863434</v>
      </c>
    </row>
    <row r="230" spans="1:6" customFormat="1" x14ac:dyDescent="0.2">
      <c r="A230" s="40" t="s">
        <v>54</v>
      </c>
      <c r="B230" s="3" t="s">
        <v>55</v>
      </c>
      <c r="C230" s="3" t="s">
        <v>407</v>
      </c>
      <c r="D230" s="86" t="s">
        <v>6</v>
      </c>
      <c r="E230" s="4">
        <f>'[1]ÜDM sahələr üzrə'!AI254</f>
        <v>386.8</v>
      </c>
      <c r="F230" s="5">
        <f>'[1]ÜDM sahələr üzrə'!AO254</f>
        <v>399.58489251265831</v>
      </c>
    </row>
    <row r="231" spans="1:6" customFormat="1" x14ac:dyDescent="0.2">
      <c r="A231" s="40" t="s">
        <v>56</v>
      </c>
      <c r="B231" s="3" t="s">
        <v>57</v>
      </c>
      <c r="C231" s="3" t="s">
        <v>408</v>
      </c>
      <c r="D231" s="86" t="s">
        <v>6</v>
      </c>
      <c r="E231" s="4">
        <f>'[1]ÜDM sahələr üzrə'!AI255</f>
        <v>281.2</v>
      </c>
      <c r="F231" s="5">
        <f>'[1]ÜDM sahələr üzrə'!AO255</f>
        <v>290.49449786597603</v>
      </c>
    </row>
    <row r="232" spans="1:6" customFormat="1" x14ac:dyDescent="0.2">
      <c r="A232" s="40"/>
      <c r="B232" s="3" t="s">
        <v>58</v>
      </c>
      <c r="C232" s="3" t="s">
        <v>409</v>
      </c>
      <c r="D232" s="86" t="s">
        <v>4</v>
      </c>
      <c r="E232" s="4">
        <f>'[1]ÜDM sahələr üzrə'!AI256</f>
        <v>42.095808383233532</v>
      </c>
      <c r="F232" s="5">
        <f>'[1]ÜDM sahələr üzrə'!AO256</f>
        <v>42.095808383233532</v>
      </c>
    </row>
    <row r="233" spans="1:6" customFormat="1" x14ac:dyDescent="0.2">
      <c r="A233" s="40"/>
      <c r="B233" s="2" t="s">
        <v>7</v>
      </c>
      <c r="C233" s="2" t="s">
        <v>398</v>
      </c>
      <c r="D233" s="86" t="s">
        <v>4</v>
      </c>
      <c r="E233" s="4">
        <f>'[1]ÜDM sahələr üzrə'!AI257</f>
        <v>2.7</v>
      </c>
      <c r="F233" s="5">
        <f>'[1]ÜDM sahələr üzrə'!AO257</f>
        <v>-10.588287466798548</v>
      </c>
    </row>
    <row r="234" spans="1:6" customFormat="1" x14ac:dyDescent="0.2">
      <c r="A234" s="41"/>
      <c r="B234" s="7" t="s">
        <v>45</v>
      </c>
      <c r="C234" s="7" t="s">
        <v>401</v>
      </c>
      <c r="D234" s="87" t="s">
        <v>4</v>
      </c>
      <c r="E234" s="9">
        <f>'[1]ÜDM sahələr üzrə'!AI258</f>
        <v>0.92414502498159834</v>
      </c>
      <c r="F234" s="10">
        <f>'[1]ÜDM sahələr üzrə'!AO258</f>
        <v>0</v>
      </c>
    </row>
    <row r="235" spans="1:6" customFormat="1" x14ac:dyDescent="0.2">
      <c r="A235" s="62" t="s">
        <v>27</v>
      </c>
      <c r="B235" s="61" t="s">
        <v>109</v>
      </c>
      <c r="C235" s="61" t="s">
        <v>109</v>
      </c>
      <c r="D235" s="89"/>
      <c r="E235" s="66"/>
      <c r="F235" s="67"/>
    </row>
    <row r="236" spans="1:6" customFormat="1" x14ac:dyDescent="0.2">
      <c r="A236" s="40" t="s">
        <v>52</v>
      </c>
      <c r="B236" s="3" t="s">
        <v>53</v>
      </c>
      <c r="C236" s="3" t="s">
        <v>406</v>
      </c>
      <c r="D236" s="86" t="s">
        <v>6</v>
      </c>
      <c r="E236" s="4">
        <f>'[1]ÜDM sahələr üzrə'!AI269</f>
        <v>20042.7</v>
      </c>
      <c r="F236" s="5">
        <f>'[1]ÜDM sahələr üzrə'!AO269</f>
        <v>26710.266783012481</v>
      </c>
    </row>
    <row r="237" spans="1:6" customFormat="1" x14ac:dyDescent="0.2">
      <c r="A237" s="40" t="s">
        <v>54</v>
      </c>
      <c r="B237" s="3" t="s">
        <v>55</v>
      </c>
      <c r="C237" s="3" t="s">
        <v>407</v>
      </c>
      <c r="D237" s="86" t="s">
        <v>6</v>
      </c>
      <c r="E237" s="4">
        <f>'[1]ÜDM sahələr üzrə'!AI270</f>
        <v>11564.6</v>
      </c>
      <c r="F237" s="5">
        <f>'[1]ÜDM sahələr üzrə'!AO270</f>
        <v>15411.773425677486</v>
      </c>
    </row>
    <row r="238" spans="1:6" customFormat="1" x14ac:dyDescent="0.2">
      <c r="A238" s="40" t="s">
        <v>56</v>
      </c>
      <c r="B238" s="3" t="s">
        <v>57</v>
      </c>
      <c r="C238" s="3" t="s">
        <v>408</v>
      </c>
      <c r="D238" s="86" t="s">
        <v>6</v>
      </c>
      <c r="E238" s="4">
        <f>'[1]ÜDM sahələr üzrə'!AI271</f>
        <v>8478.1</v>
      </c>
      <c r="F238" s="5">
        <f>'[1]ÜDM sahələr üzrə'!AO271</f>
        <v>11298.493357334995</v>
      </c>
    </row>
    <row r="239" spans="1:6" customFormat="1" x14ac:dyDescent="0.2">
      <c r="A239" s="40"/>
      <c r="B239" s="3" t="s">
        <v>58</v>
      </c>
      <c r="C239" s="3" t="s">
        <v>409</v>
      </c>
      <c r="D239" s="86" t="s">
        <v>4</v>
      </c>
      <c r="E239" s="4">
        <f>'[1]ÜDM sahələr üzrə'!AI272</f>
        <v>42.300189096279446</v>
      </c>
      <c r="F239" s="5">
        <f>'[1]ÜDM sahələr üzrə'!AO272</f>
        <v>42.300189096279446</v>
      </c>
    </row>
    <row r="240" spans="1:6" customFormat="1" x14ac:dyDescent="0.2">
      <c r="A240" s="40"/>
      <c r="B240" s="2" t="s">
        <v>7</v>
      </c>
      <c r="C240" s="2" t="s">
        <v>398</v>
      </c>
      <c r="D240" s="86" t="s">
        <v>4</v>
      </c>
      <c r="E240" s="4">
        <f>'[1]ÜDM sahələr üzrə'!AI273</f>
        <v>9.6</v>
      </c>
      <c r="F240" s="5">
        <f>'[1]ÜDM sahələr üzrə'!AO273</f>
        <v>-6.8641011830996206</v>
      </c>
    </row>
    <row r="241" spans="1:6" customFormat="1" x14ac:dyDescent="0.2">
      <c r="A241" s="41"/>
      <c r="B241" s="7" t="s">
        <v>45</v>
      </c>
      <c r="C241" s="7" t="s">
        <v>401</v>
      </c>
      <c r="D241" s="87" t="s">
        <v>4</v>
      </c>
      <c r="E241" s="9">
        <f>'[1]ÜDM sahələr üzrə'!AI276</f>
        <v>1.3374472807651756</v>
      </c>
      <c r="F241" s="10">
        <f>'[1]ÜDM sahələr üzrə'!AO276</f>
        <v>3.872513623764732</v>
      </c>
    </row>
    <row r="242" spans="1:6" customFormat="1" ht="25.5" x14ac:dyDescent="0.2">
      <c r="A242" s="62" t="s">
        <v>110</v>
      </c>
      <c r="B242" s="61" t="s">
        <v>111</v>
      </c>
      <c r="C242" s="61" t="s">
        <v>111</v>
      </c>
      <c r="D242" s="89"/>
      <c r="E242" s="66"/>
      <c r="F242" s="67"/>
    </row>
    <row r="243" spans="1:6" customFormat="1" x14ac:dyDescent="0.2">
      <c r="A243" s="40" t="s">
        <v>52</v>
      </c>
      <c r="B243" s="3" t="s">
        <v>53</v>
      </c>
      <c r="C243" s="3" t="s">
        <v>406</v>
      </c>
      <c r="D243" s="86" t="s">
        <v>6</v>
      </c>
      <c r="E243" s="4">
        <f>'[1]ÜDM sahələr üzrə'!AI287</f>
        <v>20861.8</v>
      </c>
      <c r="F243" s="5">
        <f>'[1]ÜDM sahələr üzrə'!AO287</f>
        <v>36726.666385627796</v>
      </c>
    </row>
    <row r="244" spans="1:6" customFormat="1" x14ac:dyDescent="0.2">
      <c r="A244" s="40" t="s">
        <v>54</v>
      </c>
      <c r="B244" s="3" t="s">
        <v>55</v>
      </c>
      <c r="C244" s="3" t="s">
        <v>407</v>
      </c>
      <c r="D244" s="86" t="s">
        <v>6</v>
      </c>
      <c r="E244" s="4">
        <f>'[1]ÜDM sahələr üzrə'!AI288</f>
        <v>7349.1999999999989</v>
      </c>
      <c r="F244" s="5">
        <f>'[1]ÜDM sahələr üzrə'!AO288</f>
        <v>12938.079005706881</v>
      </c>
    </row>
    <row r="245" spans="1:6" customFormat="1" x14ac:dyDescent="0.2">
      <c r="A245" s="40" t="s">
        <v>56</v>
      </c>
      <c r="B245" s="3" t="s">
        <v>57</v>
      </c>
      <c r="C245" s="3" t="s">
        <v>408</v>
      </c>
      <c r="D245" s="86" t="s">
        <v>6</v>
      </c>
      <c r="E245" s="4">
        <f>'[1]ÜDM sahələr üzrə'!AI289</f>
        <v>13512.6</v>
      </c>
      <c r="F245" s="5">
        <f>'[1]ÜDM sahələr üzrə'!AO289</f>
        <v>23788.587379920915</v>
      </c>
    </row>
    <row r="246" spans="1:6" customFormat="1" x14ac:dyDescent="0.2">
      <c r="A246" s="40"/>
      <c r="B246" s="3" t="s">
        <v>58</v>
      </c>
      <c r="C246" s="3" t="s">
        <v>409</v>
      </c>
      <c r="D246" s="86" t="s">
        <v>4</v>
      </c>
      <c r="E246" s="4">
        <f>'[1]ÜDM sahələr üzrə'!AI290</f>
        <v>64.771975572577631</v>
      </c>
      <c r="F246" s="5">
        <f>'[1]ÜDM sahələr üzrə'!AO290</f>
        <v>64.771975572577631</v>
      </c>
    </row>
    <row r="247" spans="1:6" customFormat="1" x14ac:dyDescent="0.2">
      <c r="A247" s="40"/>
      <c r="B247" s="2" t="s">
        <v>7</v>
      </c>
      <c r="C247" s="2" t="s">
        <v>398</v>
      </c>
      <c r="D247" s="86" t="s">
        <v>4</v>
      </c>
      <c r="E247" s="4">
        <f>'[1]ÜDM sahələr üzrə'!AI291</f>
        <v>3.8</v>
      </c>
      <c r="F247" s="5">
        <f>'[1]ÜDM sahələr üzrə'!AO291</f>
        <v>3.9111247238281948</v>
      </c>
    </row>
    <row r="248" spans="1:6" customFormat="1" x14ac:dyDescent="0.2">
      <c r="A248" s="41"/>
      <c r="B248" s="7" t="s">
        <v>45</v>
      </c>
      <c r="C248" s="7" t="s">
        <v>401</v>
      </c>
      <c r="D248" s="87" t="s">
        <v>4</v>
      </c>
      <c r="E248" s="9">
        <f>'[1]ÜDM sahələr üzrə'!AI294</f>
        <v>1.3343640302378788</v>
      </c>
      <c r="F248" s="10">
        <f>'[1]ÜDM sahələr üzrə'!AO294</f>
        <v>7.2035648256658931</v>
      </c>
    </row>
    <row r="249" spans="1:6" customFormat="1" ht="25.5" x14ac:dyDescent="0.2">
      <c r="A249" s="62" t="s">
        <v>112</v>
      </c>
      <c r="B249" s="61" t="s">
        <v>113</v>
      </c>
      <c r="C249" s="61" t="s">
        <v>113</v>
      </c>
      <c r="D249" s="89"/>
      <c r="E249" s="66"/>
      <c r="F249" s="67"/>
    </row>
    <row r="250" spans="1:6" customFormat="1" x14ac:dyDescent="0.2">
      <c r="A250" s="40" t="s">
        <v>52</v>
      </c>
      <c r="B250" s="3" t="s">
        <v>53</v>
      </c>
      <c r="C250" s="3" t="s">
        <v>406</v>
      </c>
      <c r="D250" s="86" t="s">
        <v>6</v>
      </c>
      <c r="E250" s="4">
        <f>'[1]ÜDM sahələr üzrə'!AI298</f>
        <v>4599.8</v>
      </c>
      <c r="F250" s="5">
        <f>'[1]ÜDM sahələr üzrə'!AO298</f>
        <v>5399.6549495458466</v>
      </c>
    </row>
    <row r="251" spans="1:6" customFormat="1" x14ac:dyDescent="0.2">
      <c r="A251" s="40" t="s">
        <v>54</v>
      </c>
      <c r="B251" s="3" t="s">
        <v>55</v>
      </c>
      <c r="C251" s="3" t="s">
        <v>407</v>
      </c>
      <c r="D251" s="86" t="s">
        <v>6</v>
      </c>
      <c r="E251" s="4">
        <f>'[1]ÜDM sahələr üzrə'!AI299</f>
        <v>1511.5</v>
      </c>
      <c r="F251" s="5">
        <f>'[1]ÜDM sahələr üzrə'!AO299</f>
        <v>1774.3333310662524</v>
      </c>
    </row>
    <row r="252" spans="1:6" customFormat="1" x14ac:dyDescent="0.2">
      <c r="A252" s="40" t="s">
        <v>56</v>
      </c>
      <c r="B252" s="3" t="s">
        <v>57</v>
      </c>
      <c r="C252" s="3" t="s">
        <v>408</v>
      </c>
      <c r="D252" s="86" t="s">
        <v>6</v>
      </c>
      <c r="E252" s="4">
        <f>'[1]ÜDM sahələr üzrə'!AI300</f>
        <v>3088.3</v>
      </c>
      <c r="F252" s="5">
        <f>'[1]ÜDM sahələr üzrə'!AO300</f>
        <v>3625.3216184795942</v>
      </c>
    </row>
    <row r="253" spans="1:6" customFormat="1" x14ac:dyDescent="0.2">
      <c r="A253" s="40"/>
      <c r="B253" s="3" t="s">
        <v>58</v>
      </c>
      <c r="C253" s="3" t="s">
        <v>409</v>
      </c>
      <c r="D253" s="86" t="s">
        <v>4</v>
      </c>
      <c r="E253" s="4">
        <f>'[1]ÜDM sahələr üzrə'!AI301</f>
        <v>67.139875646767251</v>
      </c>
      <c r="F253" s="5">
        <f>'[1]ÜDM sahələr üzrə'!AO301</f>
        <v>67.139875646767251</v>
      </c>
    </row>
    <row r="254" spans="1:6" customFormat="1" x14ac:dyDescent="0.2">
      <c r="A254" s="40"/>
      <c r="B254" s="2" t="s">
        <v>7</v>
      </c>
      <c r="C254" s="2" t="s">
        <v>398</v>
      </c>
      <c r="D254" s="86" t="s">
        <v>4</v>
      </c>
      <c r="E254" s="4">
        <f>'[1]ÜDM sahələr üzrə'!AI302</f>
        <v>12.9</v>
      </c>
      <c r="F254" s="5">
        <f>'[1]ÜDM sahələr üzrə'!AO302</f>
        <v>6.579734823326632</v>
      </c>
    </row>
    <row r="255" spans="1:6" customFormat="1" x14ac:dyDescent="0.2">
      <c r="A255" s="41"/>
      <c r="B255" s="7" t="s">
        <v>45</v>
      </c>
      <c r="C255" s="7" t="s">
        <v>401</v>
      </c>
      <c r="D255" s="87" t="s">
        <v>4</v>
      </c>
      <c r="E255" s="9">
        <f>'[1]ÜDM sahələr üzrə'!AI305</f>
        <v>2.2399395889512732</v>
      </c>
      <c r="F255" s="10">
        <f>'[1]ÜDM sahələr üzrə'!AO305</f>
        <v>7.0659167096999624</v>
      </c>
    </row>
    <row r="256" spans="1:6" customFormat="1" x14ac:dyDescent="0.2">
      <c r="A256" s="62" t="s">
        <v>114</v>
      </c>
      <c r="B256" s="61" t="s">
        <v>115</v>
      </c>
      <c r="C256" s="61" t="s">
        <v>115</v>
      </c>
      <c r="D256" s="89"/>
      <c r="E256" s="66"/>
      <c r="F256" s="67"/>
    </row>
    <row r="257" spans="1:7" customFormat="1" x14ac:dyDescent="0.2">
      <c r="A257" s="40" t="s">
        <v>52</v>
      </c>
      <c r="B257" s="3" t="s">
        <v>53</v>
      </c>
      <c r="C257" s="3" t="s">
        <v>406</v>
      </c>
      <c r="D257" s="86" t="s">
        <v>6</v>
      </c>
      <c r="E257" s="4">
        <f>'[1]ÜDM sahələr üzrə'!AI309</f>
        <v>14148.2</v>
      </c>
      <c r="F257" s="5">
        <f>'[1]ÜDM sahələr üzrə'!AO309</f>
        <v>24327.57953295271</v>
      </c>
    </row>
    <row r="258" spans="1:7" customFormat="1" x14ac:dyDescent="0.2">
      <c r="A258" s="40" t="s">
        <v>54</v>
      </c>
      <c r="B258" s="3" t="s">
        <v>55</v>
      </c>
      <c r="C258" s="3" t="s">
        <v>407</v>
      </c>
      <c r="D258" s="86" t="s">
        <v>6</v>
      </c>
      <c r="E258" s="4">
        <f>'[1]ÜDM sahələr üzrə'!AI310</f>
        <v>5325.3000000000011</v>
      </c>
      <c r="F258" s="5">
        <f>'[1]ÜDM sahələr üzrə'!AO310</f>
        <v>9156.7591133029709</v>
      </c>
    </row>
    <row r="259" spans="1:7" customFormat="1" x14ac:dyDescent="0.2">
      <c r="A259" s="40" t="s">
        <v>56</v>
      </c>
      <c r="B259" s="3" t="s">
        <v>57</v>
      </c>
      <c r="C259" s="3" t="s">
        <v>408</v>
      </c>
      <c r="D259" s="86" t="s">
        <v>6</v>
      </c>
      <c r="E259" s="4">
        <f>'[1]ÜDM sahələr üzrə'!AI311</f>
        <v>8822.9</v>
      </c>
      <c r="F259" s="5">
        <f>'[1]ÜDM sahələr üzrə'!AO311</f>
        <v>15170.820419649739</v>
      </c>
    </row>
    <row r="260" spans="1:7" customFormat="1" x14ac:dyDescent="0.2">
      <c r="A260" s="40"/>
      <c r="B260" s="3" t="s">
        <v>58</v>
      </c>
      <c r="C260" s="3" t="s">
        <v>409</v>
      </c>
      <c r="D260" s="86" t="s">
        <v>4</v>
      </c>
      <c r="E260" s="4">
        <f>'[1]ÜDM sahələr üzrə'!AI312</f>
        <v>62.360582971685439</v>
      </c>
      <c r="F260" s="5">
        <f>'[1]ÜDM sahələr üzrə'!AO312</f>
        <v>62.360582971685439</v>
      </c>
    </row>
    <row r="261" spans="1:7" customFormat="1" x14ac:dyDescent="0.2">
      <c r="A261" s="40"/>
      <c r="B261" s="2" t="s">
        <v>7</v>
      </c>
      <c r="C261" s="2" t="s">
        <v>398</v>
      </c>
      <c r="D261" s="86" t="s">
        <v>4</v>
      </c>
      <c r="E261" s="4">
        <f>'[1]ÜDM sahələr üzrə'!AI313</f>
        <v>14.1</v>
      </c>
      <c r="F261" s="5">
        <f>'[1]ÜDM sahələr üzrə'!AO313</f>
        <v>0.55273521848247209</v>
      </c>
    </row>
    <row r="262" spans="1:7" customFormat="1" x14ac:dyDescent="0.2">
      <c r="A262" s="41"/>
      <c r="B262" s="7" t="s">
        <v>45</v>
      </c>
      <c r="C262" s="7" t="s">
        <v>401</v>
      </c>
      <c r="D262" s="87" t="s">
        <v>4</v>
      </c>
      <c r="E262" s="9">
        <f>'[1]ÜDM sahələr üzrə'!AI314</f>
        <v>-1.2060434413920547</v>
      </c>
      <c r="F262" s="10">
        <f>'[1]ÜDM sahələr üzrə'!AO314</f>
        <v>9.4134076613706839</v>
      </c>
    </row>
    <row r="263" spans="1:7" customFormat="1" x14ac:dyDescent="0.2">
      <c r="A263" s="62" t="s">
        <v>116</v>
      </c>
      <c r="B263" s="61" t="s">
        <v>117</v>
      </c>
      <c r="C263" s="61" t="s">
        <v>117</v>
      </c>
      <c r="D263" s="89"/>
      <c r="E263" s="66"/>
      <c r="F263" s="67"/>
    </row>
    <row r="264" spans="1:7" customFormat="1" x14ac:dyDescent="0.2">
      <c r="A264" s="40" t="s">
        <v>52</v>
      </c>
      <c r="B264" s="3" t="s">
        <v>53</v>
      </c>
      <c r="C264" s="3" t="s">
        <v>406</v>
      </c>
      <c r="D264" s="86" t="s">
        <v>6</v>
      </c>
      <c r="E264" s="4">
        <f>'[1]ÜDM sahələr üzrə'!AI318</f>
        <v>3761.1</v>
      </c>
      <c r="F264" s="5">
        <f>'[1]ÜDM sahələr üzrə'!AO318</f>
        <v>6720.3463401406179</v>
      </c>
    </row>
    <row r="265" spans="1:7" customFormat="1" x14ac:dyDescent="0.2">
      <c r="A265" s="40" t="s">
        <v>54</v>
      </c>
      <c r="B265" s="3" t="s">
        <v>55</v>
      </c>
      <c r="C265" s="3" t="s">
        <v>407</v>
      </c>
      <c r="D265" s="86" t="s">
        <v>6</v>
      </c>
      <c r="E265" s="4">
        <f>'[1]ÜDM sahələr üzrə'!AI319</f>
        <v>1361.6</v>
      </c>
      <c r="F265" s="5">
        <f>'[1]ÜDM sahələr üzrə'!AO319</f>
        <v>2432.9115356505981</v>
      </c>
    </row>
    <row r="266" spans="1:7" customFormat="1" x14ac:dyDescent="0.2">
      <c r="A266" s="40" t="s">
        <v>56</v>
      </c>
      <c r="B266" s="3" t="s">
        <v>57</v>
      </c>
      <c r="C266" s="3" t="s">
        <v>408</v>
      </c>
      <c r="D266" s="86" t="s">
        <v>6</v>
      </c>
      <c r="E266" s="4">
        <f>'[1]ÜDM sahələr üzrə'!AI320</f>
        <v>2399.5</v>
      </c>
      <c r="F266" s="5">
        <f>'[1]ÜDM sahələr üzrə'!AO320</f>
        <v>4287.4348044900198</v>
      </c>
    </row>
    <row r="267" spans="1:7" customFormat="1" x14ac:dyDescent="0.2">
      <c r="A267" s="40"/>
      <c r="B267" s="3" t="s">
        <v>58</v>
      </c>
      <c r="C267" s="3" t="s">
        <v>409</v>
      </c>
      <c r="D267" s="86" t="s">
        <v>4</v>
      </c>
      <c r="E267" s="4">
        <f>'[1]ÜDM sahələr üzrə'!AI321</f>
        <v>63.797825104357763</v>
      </c>
      <c r="F267" s="5">
        <f>'[1]ÜDM sahələr üzrə'!AO321</f>
        <v>63.797825104357763</v>
      </c>
    </row>
    <row r="268" spans="1:7" customFormat="1" x14ac:dyDescent="0.2">
      <c r="A268" s="40"/>
      <c r="B268" s="2" t="s">
        <v>7</v>
      </c>
      <c r="C268" s="2" t="s">
        <v>398</v>
      </c>
      <c r="D268" s="86" t="s">
        <v>4</v>
      </c>
      <c r="E268" s="4">
        <f>'[1]ÜDM sahələr üzrə'!AI322</f>
        <v>11.4</v>
      </c>
      <c r="F268" s="5">
        <f>'[1]ÜDM sahələr üzrə'!AO322</f>
        <v>10.120068610634661</v>
      </c>
    </row>
    <row r="269" spans="1:7" customFormat="1" x14ac:dyDescent="0.2">
      <c r="A269" s="41"/>
      <c r="B269" s="7" t="s">
        <v>45</v>
      </c>
      <c r="C269" s="7" t="s">
        <v>401</v>
      </c>
      <c r="D269" s="87" t="s">
        <v>4</v>
      </c>
      <c r="E269" s="9">
        <f>'[1]ÜDM sahələr üzrə'!AI323</f>
        <v>0.30500748347672868</v>
      </c>
      <c r="F269" s="10">
        <f>'[1]ÜDM sahələr üzrə'!AO323</f>
        <v>-2.6811250898362005E-3</v>
      </c>
    </row>
    <row r="270" spans="1:7" customFormat="1" ht="25.5" x14ac:dyDescent="0.2">
      <c r="A270" s="62" t="s">
        <v>118</v>
      </c>
      <c r="B270" s="61" t="s">
        <v>119</v>
      </c>
      <c r="C270" s="170" t="s">
        <v>489</v>
      </c>
      <c r="D270" s="89"/>
      <c r="E270" s="66"/>
      <c r="F270" s="67"/>
      <c r="G270" s="168" t="s">
        <v>397</v>
      </c>
    </row>
    <row r="271" spans="1:7" customFormat="1" x14ac:dyDescent="0.2">
      <c r="A271" s="40" t="s">
        <v>52</v>
      </c>
      <c r="B271" s="3" t="s">
        <v>53</v>
      </c>
      <c r="C271" s="3" t="s">
        <v>406</v>
      </c>
      <c r="D271" s="86" t="s">
        <v>6</v>
      </c>
      <c r="E271" s="4">
        <f>'[1]ÜDM sahələr üzrə'!AI325</f>
        <v>38219.199999999997</v>
      </c>
      <c r="F271" s="5">
        <f>'[1]ÜDM sahələr üzrə'!AO325</f>
        <v>62396.964134400012</v>
      </c>
    </row>
    <row r="272" spans="1:7" customFormat="1" x14ac:dyDescent="0.2">
      <c r="A272" s="40" t="s">
        <v>54</v>
      </c>
      <c r="B272" s="3" t="s">
        <v>55</v>
      </c>
      <c r="C272" s="3" t="s">
        <v>407</v>
      </c>
      <c r="D272" s="86" t="s">
        <v>6</v>
      </c>
      <c r="E272" s="4">
        <f>'[1]ÜDM sahələr üzrə'!AI326</f>
        <v>13050.399999999998</v>
      </c>
      <c r="F272" s="5">
        <f>'[1]ÜDM sahələr üzrə'!AO326</f>
        <v>21306.184868850571</v>
      </c>
    </row>
    <row r="273" spans="1:6" customFormat="1" x14ac:dyDescent="0.2">
      <c r="A273" s="40" t="s">
        <v>56</v>
      </c>
      <c r="B273" s="3" t="s">
        <v>57</v>
      </c>
      <c r="C273" s="3" t="s">
        <v>408</v>
      </c>
      <c r="D273" s="86" t="s">
        <v>6</v>
      </c>
      <c r="E273" s="4">
        <f>'[1]ÜDM sahələr üzrə'!AI327</f>
        <v>25168.799999999999</v>
      </c>
      <c r="F273" s="5">
        <f>'[1]ÜDM sahələr üzrə'!AO327</f>
        <v>41090.779265549441</v>
      </c>
    </row>
    <row r="274" spans="1:6" customFormat="1" x14ac:dyDescent="0.2">
      <c r="A274" s="40"/>
      <c r="B274" s="3" t="s">
        <v>58</v>
      </c>
      <c r="C274" s="3" t="s">
        <v>409</v>
      </c>
      <c r="D274" s="86" t="s">
        <v>4</v>
      </c>
      <c r="E274" s="4">
        <f>'[1]ÜDM sahələr üzrə'!AI328</f>
        <v>65.853811696738816</v>
      </c>
      <c r="F274" s="5">
        <f>'[1]ÜDM sahələr üzrə'!AO328</f>
        <v>65.853811696738816</v>
      </c>
    </row>
    <row r="275" spans="1:6" customFormat="1" x14ac:dyDescent="0.2">
      <c r="A275" s="40"/>
      <c r="B275" s="2" t="s">
        <v>7</v>
      </c>
      <c r="C275" s="2" t="s">
        <v>398</v>
      </c>
      <c r="D275" s="86" t="s">
        <v>4</v>
      </c>
      <c r="E275" s="4">
        <f>'[1]ÜDM sahələr üzrə'!AI329</f>
        <v>4.0490000000000004</v>
      </c>
      <c r="F275" s="5">
        <f>'[1]ÜDM sahələr üzrə'!AO329</f>
        <v>1.8530449951571768</v>
      </c>
    </row>
    <row r="276" spans="1:6" customFormat="1" x14ac:dyDescent="0.2">
      <c r="A276" s="41"/>
      <c r="B276" s="7" t="s">
        <v>45</v>
      </c>
      <c r="C276" s="7" t="s">
        <v>401</v>
      </c>
      <c r="D276" s="87" t="s">
        <v>4</v>
      </c>
      <c r="E276" s="9">
        <f>'[1]ÜDM sahələr üzrə'!AI330</f>
        <v>5.0154871037591704</v>
      </c>
      <c r="F276" s="10">
        <f>'[1]ÜDM sahələr üzrə'!AO330</f>
        <v>6.4625133040066061</v>
      </c>
    </row>
    <row r="277" spans="1:6" customFormat="1" x14ac:dyDescent="0.2">
      <c r="A277" s="35"/>
      <c r="B277" s="36"/>
      <c r="C277" s="36"/>
      <c r="D277" s="90"/>
      <c r="E277" s="4"/>
      <c r="F277" s="4"/>
    </row>
    <row r="278" spans="1:6" customFormat="1" x14ac:dyDescent="0.2">
      <c r="A278" s="35"/>
      <c r="B278" s="36"/>
      <c r="C278" s="36"/>
      <c r="D278" s="90"/>
      <c r="E278" s="4"/>
      <c r="F278" s="4"/>
    </row>
    <row r="279" spans="1:6" customFormat="1" x14ac:dyDescent="0.2">
      <c r="A279" s="35"/>
      <c r="B279" s="36"/>
      <c r="C279" s="36"/>
      <c r="D279" s="90"/>
      <c r="E279" s="4"/>
      <c r="F279" s="4"/>
    </row>
    <row r="280" spans="1:6" customFormat="1" x14ac:dyDescent="0.2">
      <c r="A280" s="35"/>
      <c r="B280" s="36"/>
      <c r="C280" s="36"/>
      <c r="D280" s="90"/>
      <c r="E280" s="4"/>
      <c r="F280" s="4"/>
    </row>
    <row r="281" spans="1:6" customFormat="1" x14ac:dyDescent="0.2">
      <c r="A281" s="35"/>
      <c r="B281" s="36"/>
      <c r="C281" s="36"/>
      <c r="D281" s="90"/>
      <c r="E281" s="4"/>
      <c r="F281" s="4"/>
    </row>
    <row r="282" spans="1:6" customFormat="1" x14ac:dyDescent="0.2">
      <c r="A282" s="35"/>
      <c r="B282" s="36"/>
      <c r="C282" s="36"/>
      <c r="D282" s="90"/>
      <c r="E282" s="4"/>
      <c r="F282" s="4"/>
    </row>
    <row r="283" spans="1:6" customFormat="1" x14ac:dyDescent="0.2">
      <c r="A283" s="35"/>
      <c r="B283" s="36"/>
      <c r="C283" s="36"/>
      <c r="D283" s="90"/>
      <c r="E283" s="4"/>
      <c r="F283" s="4"/>
    </row>
    <row r="284" spans="1:6" customFormat="1" x14ac:dyDescent="0.2">
      <c r="A284" s="35"/>
      <c r="B284" s="36"/>
      <c r="C284" s="36"/>
      <c r="D284" s="90"/>
      <c r="E284" s="4"/>
      <c r="F284" s="4"/>
    </row>
    <row r="285" spans="1:6" customFormat="1" x14ac:dyDescent="0.2">
      <c r="A285" s="35"/>
      <c r="B285" s="36"/>
      <c r="C285" s="36"/>
      <c r="D285" s="90"/>
      <c r="E285" s="4"/>
      <c r="F285" s="4"/>
    </row>
    <row r="286" spans="1:6" customFormat="1" x14ac:dyDescent="0.2">
      <c r="A286" s="35"/>
      <c r="B286" s="36"/>
      <c r="C286" s="36"/>
      <c r="D286" s="90"/>
      <c r="E286" s="4"/>
      <c r="F286" s="4"/>
    </row>
    <row r="287" spans="1:6" customFormat="1" x14ac:dyDescent="0.2">
      <c r="A287" s="35"/>
      <c r="B287" s="36"/>
      <c r="C287" s="36"/>
      <c r="D287" s="90"/>
      <c r="E287" s="4"/>
      <c r="F287" s="4"/>
    </row>
    <row r="288" spans="1:6" customFormat="1" x14ac:dyDescent="0.2">
      <c r="A288" s="35"/>
      <c r="B288" s="36"/>
      <c r="C288" s="36"/>
      <c r="D288" s="90"/>
      <c r="E288" s="4"/>
      <c r="F288" s="4"/>
    </row>
    <row r="289" spans="1:6" customFormat="1" x14ac:dyDescent="0.2">
      <c r="A289" s="35"/>
      <c r="B289" s="36"/>
      <c r="C289" s="36"/>
      <c r="D289" s="90"/>
      <c r="E289" s="4"/>
      <c r="F289" s="4"/>
    </row>
    <row r="290" spans="1:6" customFormat="1" x14ac:dyDescent="0.2">
      <c r="A290" s="35"/>
      <c r="B290" s="36"/>
      <c r="C290" s="36"/>
      <c r="D290" s="90"/>
      <c r="E290" s="4"/>
      <c r="F290" s="4"/>
    </row>
  </sheetData>
  <mergeCells count="5">
    <mergeCell ref="A1:E1"/>
    <mergeCell ref="A2:A3"/>
    <mergeCell ref="B2:B3"/>
    <mergeCell ref="D2:D3"/>
    <mergeCell ref="C2:C3"/>
  </mergeCells>
  <pageMargins left="0.54" right="7.8740157480315001E-2" top="0.39370078740157499" bottom="0.59055118110236204" header="0.31496062992126" footer="0.31496062992126"/>
  <pageSetup paperSize="9" firstPageNumber="2" fitToHeight="2" orientation="portrait" useFirstPageNumber="1" r:id="rId1"/>
  <headerFooter>
    <oddFooter>&amp;L &amp;Csəh.&amp;P</oddFooter>
  </headerFooter>
  <rowBreaks count="5" manualBreakCount="5">
    <brk id="52" max="19" man="1"/>
    <brk id="108" max="16383" man="1"/>
    <brk id="157" max="16383" man="1"/>
    <brk id="206" max="16383" man="1"/>
    <brk id="255" max="1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3">
    <pageSetUpPr fitToPage="1"/>
  </sheetPr>
  <dimension ref="A1:G51"/>
  <sheetViews>
    <sheetView view="pageBreakPreview" zoomScaleSheetLayoutView="100" workbookViewId="0">
      <pane xSplit="4" ySplit="3" topLeftCell="E4" activePane="bottomRight" state="frozenSplit"/>
      <selection activeCell="W14" sqref="W14"/>
      <selection pane="topRight" activeCell="W14" sqref="W14"/>
      <selection pane="bottomLeft" activeCell="W14" sqref="W14"/>
      <selection pane="bottomRight" activeCell="G7" sqref="G7"/>
    </sheetView>
  </sheetViews>
  <sheetFormatPr defaultColWidth="9.140625" defaultRowHeight="12.75" x14ac:dyDescent="0.2"/>
  <cols>
    <col min="1" max="1" width="4.85546875" style="35" customWidth="1"/>
    <col min="2" max="3" width="26.140625" style="36" customWidth="1"/>
    <col min="4" max="4" width="10.5703125" style="90" customWidth="1"/>
    <col min="5" max="5" width="10.85546875" style="4" customWidth="1"/>
    <col min="6" max="6" width="10.85546875" style="4" hidden="1" customWidth="1"/>
    <col min="7" max="7" width="38" style="37" customWidth="1"/>
    <col min="8" max="16384" width="9.140625" style="37"/>
  </cols>
  <sheetData>
    <row r="1" spans="1:7" customFormat="1" ht="27" customHeight="1" x14ac:dyDescent="0.2">
      <c r="A1" s="205" t="s">
        <v>366</v>
      </c>
      <c r="B1" s="205"/>
      <c r="C1" s="205"/>
      <c r="D1" s="205"/>
      <c r="E1" s="205"/>
      <c r="F1" s="161"/>
    </row>
    <row r="2" spans="1:7" customFormat="1" x14ac:dyDescent="0.2">
      <c r="A2" s="214" t="s">
        <v>0</v>
      </c>
      <c r="B2" s="216" t="s">
        <v>1</v>
      </c>
      <c r="C2" s="212" t="s">
        <v>394</v>
      </c>
      <c r="D2" s="210" t="s">
        <v>2</v>
      </c>
      <c r="E2" s="158"/>
      <c r="F2" s="163"/>
      <c r="G2" s="166" t="s">
        <v>395</v>
      </c>
    </row>
    <row r="3" spans="1:7" customFormat="1" x14ac:dyDescent="0.2">
      <c r="A3" s="215"/>
      <c r="B3" s="217"/>
      <c r="C3" s="213"/>
      <c r="D3" s="211"/>
      <c r="E3" s="140">
        <v>2024</v>
      </c>
      <c r="F3" s="160">
        <v>2030</v>
      </c>
    </row>
    <row r="4" spans="1:7" customFormat="1" ht="25.5" x14ac:dyDescent="0.2">
      <c r="A4" s="69" t="s">
        <v>15</v>
      </c>
      <c r="B4" s="70" t="s">
        <v>51</v>
      </c>
      <c r="C4" s="173" t="s">
        <v>405</v>
      </c>
      <c r="D4" s="95" t="s">
        <v>20</v>
      </c>
      <c r="E4" s="66">
        <f>E5/'2.4.1.1.'!E$4*100</f>
        <v>5.6571704567467362</v>
      </c>
      <c r="F4" s="67">
        <f>F5/'2.4.1.1.'!F$4*100</f>
        <v>5.4333300383074361</v>
      </c>
      <c r="G4" s="168" t="s">
        <v>397</v>
      </c>
    </row>
    <row r="5" spans="1:7" customFormat="1" x14ac:dyDescent="0.2">
      <c r="A5" s="40"/>
      <c r="B5" s="22" t="s">
        <v>57</v>
      </c>
      <c r="C5" s="22" t="s">
        <v>408</v>
      </c>
      <c r="D5" s="96" t="s">
        <v>6</v>
      </c>
      <c r="E5" s="4">
        <f>'2.4.1.2.'!E7</f>
        <v>7147.1</v>
      </c>
      <c r="F5" s="5">
        <f>'2.4.1.2.'!F7</f>
        <v>9149.3444787941826</v>
      </c>
    </row>
    <row r="6" spans="1:7" customFormat="1" x14ac:dyDescent="0.2">
      <c r="A6" s="40"/>
      <c r="B6" s="22" t="s">
        <v>7</v>
      </c>
      <c r="C6" s="22" t="s">
        <v>398</v>
      </c>
      <c r="D6" s="96" t="s">
        <v>4</v>
      </c>
      <c r="E6" s="4">
        <f>'2.4.1.2.'!E9</f>
        <v>1.4</v>
      </c>
      <c r="F6" s="5">
        <f>'2.4.1.2.'!F9</f>
        <v>1.0872394224465143</v>
      </c>
    </row>
    <row r="7" spans="1:7" customFormat="1" x14ac:dyDescent="0.2">
      <c r="A7" s="40"/>
      <c r="B7" s="22" t="s">
        <v>45</v>
      </c>
      <c r="C7" s="22" t="s">
        <v>401</v>
      </c>
      <c r="D7" s="96" t="s">
        <v>4</v>
      </c>
      <c r="E7" s="4">
        <f>'2.4.1.2.'!E10</f>
        <v>3.8808873963505732</v>
      </c>
      <c r="F7" s="5">
        <f>'2.4.1.2.'!F10</f>
        <v>1.7186531556838247</v>
      </c>
    </row>
    <row r="8" spans="1:7" customFormat="1" ht="25.5" x14ac:dyDescent="0.2">
      <c r="A8" s="62" t="s">
        <v>16</v>
      </c>
      <c r="B8" s="68" t="s">
        <v>180</v>
      </c>
      <c r="C8" s="68" t="s">
        <v>180</v>
      </c>
      <c r="D8" s="97" t="s">
        <v>20</v>
      </c>
      <c r="E8" s="63">
        <f>E9/'2.4.1.1.'!E$4*100</f>
        <v>35.901284932975123</v>
      </c>
      <c r="F8" s="64">
        <f>F9/'2.4.1.1.'!F$4*100</f>
        <v>25.521462746906749</v>
      </c>
    </row>
    <row r="9" spans="1:7" customFormat="1" x14ac:dyDescent="0.2">
      <c r="A9" s="40"/>
      <c r="B9" s="22" t="s">
        <v>57</v>
      </c>
      <c r="C9" s="22" t="s">
        <v>408</v>
      </c>
      <c r="D9" s="96" t="s">
        <v>6</v>
      </c>
      <c r="E9" s="4">
        <f>'[1]ÜDM sahələr üzrə'!AI12</f>
        <v>45356.609899999996</v>
      </c>
      <c r="F9" s="5">
        <f>'[1]ÜDM sahələr üzrə'!AO12</f>
        <v>42976.342800427941</v>
      </c>
    </row>
    <row r="10" spans="1:7" customFormat="1" x14ac:dyDescent="0.2">
      <c r="A10" s="40"/>
      <c r="B10" s="22" t="s">
        <v>7</v>
      </c>
      <c r="C10" s="22" t="s">
        <v>398</v>
      </c>
      <c r="D10" s="96" t="s">
        <v>4</v>
      </c>
      <c r="E10" s="4">
        <f>'[1]ÜDM sahələr üzrə'!AI14</f>
        <v>0.94674975993005062</v>
      </c>
      <c r="F10" s="5">
        <f>'[1]ÜDM sahələr üzrə'!AO14</f>
        <v>-0.39202719407839098</v>
      </c>
    </row>
    <row r="11" spans="1:7" customFormat="1" x14ac:dyDescent="0.2">
      <c r="A11" s="41"/>
      <c r="B11" s="23" t="s">
        <v>45</v>
      </c>
      <c r="C11" s="23" t="s">
        <v>401</v>
      </c>
      <c r="D11" s="98" t="s">
        <v>4</v>
      </c>
      <c r="E11" s="9">
        <f>'[1]ÜDM sahələr üzrə'!AI15</f>
        <v>-7.9461802260235288</v>
      </c>
      <c r="F11" s="10">
        <f>'[1]ÜDM sahələr üzrə'!AO15</f>
        <v>1.5378256625230335</v>
      </c>
    </row>
    <row r="12" spans="1:7" customFormat="1" ht="25.5" x14ac:dyDescent="0.2">
      <c r="A12" s="42" t="s">
        <v>21</v>
      </c>
      <c r="B12" s="24" t="s">
        <v>181</v>
      </c>
      <c r="C12" s="171" t="s">
        <v>423</v>
      </c>
      <c r="D12" s="99" t="s">
        <v>20</v>
      </c>
      <c r="E12" s="17">
        <f>E13/'2.4.1.1.'!E$4*100</f>
        <v>30.583357980835036</v>
      </c>
      <c r="F12" s="18">
        <f>F13/'2.4.1.1.'!F$4*100</f>
        <v>18.308986532121178</v>
      </c>
      <c r="G12" s="168" t="s">
        <v>397</v>
      </c>
    </row>
    <row r="13" spans="1:7" customFormat="1" x14ac:dyDescent="0.2">
      <c r="A13" s="40"/>
      <c r="B13" s="22" t="s">
        <v>57</v>
      </c>
      <c r="C13" s="22" t="s">
        <v>408</v>
      </c>
      <c r="D13" s="96" t="s">
        <v>6</v>
      </c>
      <c r="E13" s="4">
        <f>'[1]ÜDM sahələr üzrə'!AI71</f>
        <v>38638.1</v>
      </c>
      <c r="F13" s="5">
        <f>'[1]ÜDM sahələr üzrə'!AO71</f>
        <v>30831.041674060252</v>
      </c>
    </row>
    <row r="14" spans="1:7" customFormat="1" x14ac:dyDescent="0.2">
      <c r="A14" s="40"/>
      <c r="B14" s="22" t="s">
        <v>7</v>
      </c>
      <c r="C14" s="22" t="s">
        <v>398</v>
      </c>
      <c r="D14" s="96" t="s">
        <v>4</v>
      </c>
      <c r="E14" s="4">
        <f>'[1]ÜDM sahələr üzrə'!AI73</f>
        <v>0.32330242525883529</v>
      </c>
      <c r="F14" s="5">
        <f>'[1]ÜDM sahələr üzrə'!AO73</f>
        <v>-1.0913632743561281</v>
      </c>
    </row>
    <row r="15" spans="1:7" customFormat="1" x14ac:dyDescent="0.2">
      <c r="A15" s="40"/>
      <c r="B15" s="22" t="s">
        <v>45</v>
      </c>
      <c r="C15" s="22" t="s">
        <v>401</v>
      </c>
      <c r="D15" s="96" t="s">
        <v>4</v>
      </c>
      <c r="E15" s="4">
        <f>'[1]ÜDM sahələr üzrə'!AI74</f>
        <v>-8.8994328996358831</v>
      </c>
      <c r="F15" s="5">
        <f>'[1]ÜDM sahələr üzrə'!AO74</f>
        <v>1.1990833995223227</v>
      </c>
    </row>
    <row r="16" spans="1:7" customFormat="1" ht="25.5" x14ac:dyDescent="0.2">
      <c r="A16" s="43" t="s">
        <v>22</v>
      </c>
      <c r="B16" s="25" t="s">
        <v>424</v>
      </c>
      <c r="C16" s="25" t="s">
        <v>424</v>
      </c>
      <c r="D16" s="100" t="s">
        <v>20</v>
      </c>
      <c r="E16" s="19">
        <f>E17/'2.4.1.1.'!E$4*100</f>
        <v>5.3179269521400947</v>
      </c>
      <c r="F16" s="20">
        <f>F17/'2.4.1.1.'!F$4*100</f>
        <v>7.2124762147855668</v>
      </c>
      <c r="G16" s="168"/>
    </row>
    <row r="17" spans="1:7" customFormat="1" x14ac:dyDescent="0.2">
      <c r="A17" s="40"/>
      <c r="B17" s="22" t="s">
        <v>57</v>
      </c>
      <c r="C17" s="22" t="s">
        <v>408</v>
      </c>
      <c r="D17" s="96" t="s">
        <v>6</v>
      </c>
      <c r="E17" s="4">
        <f>'[1]ÜDM sahələr üzrə'!AI20</f>
        <v>6718.5099</v>
      </c>
      <c r="F17" s="5">
        <f>'[1]ÜDM sahələr üzrə'!AO20</f>
        <v>12145.301126367685</v>
      </c>
    </row>
    <row r="18" spans="1:7" customFormat="1" x14ac:dyDescent="0.2">
      <c r="A18" s="40"/>
      <c r="B18" s="22" t="s">
        <v>7</v>
      </c>
      <c r="C18" s="22" t="s">
        <v>398</v>
      </c>
      <c r="D18" s="96" t="s">
        <v>4</v>
      </c>
      <c r="E18" s="4">
        <f>'[1]ÜDM sahələr üzrə'!AI22</f>
        <v>4.9806448986375651</v>
      </c>
      <c r="F18" s="5">
        <f>'[1]ÜDM sahələr üzrə'!AO22</f>
        <v>1.4506262837684867</v>
      </c>
    </row>
    <row r="19" spans="1:7" customFormat="1" x14ac:dyDescent="0.2">
      <c r="A19" s="41"/>
      <c r="B19" s="23" t="s">
        <v>45</v>
      </c>
      <c r="C19" s="23" t="s">
        <v>401</v>
      </c>
      <c r="D19" s="98" t="s">
        <v>4</v>
      </c>
      <c r="E19" s="9">
        <f>'[1]ÜDM sahələr üzrə'!AI23</f>
        <v>-2.0519723642142793</v>
      </c>
      <c r="F19" s="10">
        <f>'[1]ÜDM sahələr üzrə'!AO23</f>
        <v>2.4080006672225807</v>
      </c>
    </row>
    <row r="20" spans="1:7" customFormat="1" ht="25.5" x14ac:dyDescent="0.2">
      <c r="A20" s="71" t="s">
        <v>8</v>
      </c>
      <c r="B20" s="68" t="s">
        <v>109</v>
      </c>
      <c r="C20" s="68" t="s">
        <v>109</v>
      </c>
      <c r="D20" s="97" t="s">
        <v>20</v>
      </c>
      <c r="E20" s="63">
        <f>E21/'2.4.1.1.'!E$4*100</f>
        <v>6.7107018020378204</v>
      </c>
      <c r="F20" s="64">
        <f>F21/'2.4.1.1.'!F$4*100</f>
        <v>6.709600178275922</v>
      </c>
    </row>
    <row r="21" spans="1:7" customFormat="1" x14ac:dyDescent="0.2">
      <c r="A21" s="40"/>
      <c r="B21" s="22" t="s">
        <v>57</v>
      </c>
      <c r="C21" s="22" t="s">
        <v>408</v>
      </c>
      <c r="D21" s="96" t="s">
        <v>6</v>
      </c>
      <c r="E21" s="4">
        <f>'[1]ÜDM sahələr üzrə'!AI271</f>
        <v>8478.1</v>
      </c>
      <c r="F21" s="5">
        <f>'[1]ÜDM sahələr üzrə'!AO271</f>
        <v>11298.493357334995</v>
      </c>
    </row>
    <row r="22" spans="1:7" customFormat="1" x14ac:dyDescent="0.2">
      <c r="A22" s="40"/>
      <c r="B22" s="22" t="s">
        <v>7</v>
      </c>
      <c r="C22" s="22" t="s">
        <v>398</v>
      </c>
      <c r="D22" s="96" t="s">
        <v>4</v>
      </c>
      <c r="E22" s="4">
        <f>'[1]ÜDM sahələr üzrə'!AI273</f>
        <v>9.6</v>
      </c>
      <c r="F22" s="5">
        <f>'[1]ÜDM sahələr üzrə'!AO273</f>
        <v>-6.8641011830996206</v>
      </c>
    </row>
    <row r="23" spans="1:7" customFormat="1" x14ac:dyDescent="0.2">
      <c r="A23" s="41"/>
      <c r="B23" s="23" t="s">
        <v>45</v>
      </c>
      <c r="C23" s="23" t="s">
        <v>401</v>
      </c>
      <c r="D23" s="98" t="s">
        <v>4</v>
      </c>
      <c r="E23" s="9">
        <f>'[1]ÜDM sahələr üzrə'!AI276</f>
        <v>1.3374472807651756</v>
      </c>
      <c r="F23" s="10">
        <f>'[1]ÜDM sahələr üzrə'!AO276</f>
        <v>3.872513623764732</v>
      </c>
    </row>
    <row r="24" spans="1:7" customFormat="1" ht="25.5" x14ac:dyDescent="0.2">
      <c r="A24" s="71" t="s">
        <v>17</v>
      </c>
      <c r="B24" s="68" t="s">
        <v>182</v>
      </c>
      <c r="C24" s="68" t="s">
        <v>182</v>
      </c>
      <c r="D24" s="97" t="s">
        <v>20</v>
      </c>
      <c r="E24" s="63">
        <f>E25/'2.4.1.1.'!E$4*100</f>
        <v>41.945032609165786</v>
      </c>
      <c r="F24" s="64">
        <f>F25/'2.4.1.1.'!F$4*100</f>
        <v>52.236715342776705</v>
      </c>
    </row>
    <row r="25" spans="1:7" customFormat="1" x14ac:dyDescent="0.2">
      <c r="A25" s="40"/>
      <c r="B25" s="22" t="s">
        <v>57</v>
      </c>
      <c r="C25" s="22" t="s">
        <v>408</v>
      </c>
      <c r="D25" s="96" t="s">
        <v>6</v>
      </c>
      <c r="E25" s="4">
        <f>'[1]ÜDM sahələr üzrə'!AI282</f>
        <v>52992.100000000006</v>
      </c>
      <c r="F25" s="5">
        <f>'[1]ÜDM sahələr üzrə'!AO282</f>
        <v>87962.943488089717</v>
      </c>
    </row>
    <row r="26" spans="1:7" customFormat="1" x14ac:dyDescent="0.2">
      <c r="A26" s="40"/>
      <c r="B26" s="22" t="s">
        <v>7</v>
      </c>
      <c r="C26" s="22" t="s">
        <v>398</v>
      </c>
      <c r="D26" s="96" t="s">
        <v>4</v>
      </c>
      <c r="E26" s="4">
        <f>'[1]ÜDM sahələr üzrə'!AI284</f>
        <v>6.417341278165277</v>
      </c>
      <c r="F26" s="5">
        <f>'[1]ÜDM sahələr üzrə'!AO284</f>
        <v>2.7671018204624982</v>
      </c>
    </row>
    <row r="27" spans="1:7" customFormat="1" x14ac:dyDescent="0.2">
      <c r="A27" s="41"/>
      <c r="B27" s="23" t="s">
        <v>45</v>
      </c>
      <c r="C27" s="23" t="s">
        <v>401</v>
      </c>
      <c r="D27" s="98" t="s">
        <v>4</v>
      </c>
      <c r="E27" s="9">
        <f>'[1]ÜDM sahələr üzrə'!AI285</f>
        <v>2.6086467991021607</v>
      </c>
      <c r="F27" s="10">
        <f>'[1]ÜDM sahələr üzrə'!AO285</f>
        <v>6.8473652337982571</v>
      </c>
    </row>
    <row r="28" spans="1:7" customFormat="1" ht="25.5" x14ac:dyDescent="0.2">
      <c r="A28" s="42" t="s">
        <v>152</v>
      </c>
      <c r="B28" s="24" t="s">
        <v>111</v>
      </c>
      <c r="C28" s="24" t="s">
        <v>111</v>
      </c>
      <c r="D28" s="99" t="s">
        <v>20</v>
      </c>
      <c r="E28" s="17">
        <f>E29/'2.4.1.1.'!E$4*100</f>
        <v>10.695678179098648</v>
      </c>
      <c r="F28" s="18">
        <f>F29/'2.4.1.1.'!F$4*100</f>
        <v>14.126831346201524</v>
      </c>
      <c r="G28" s="168"/>
    </row>
    <row r="29" spans="1:7" customFormat="1" x14ac:dyDescent="0.2">
      <c r="A29" s="40"/>
      <c r="B29" s="22" t="s">
        <v>57</v>
      </c>
      <c r="C29" s="22" t="s">
        <v>408</v>
      </c>
      <c r="D29" s="96" t="s">
        <v>6</v>
      </c>
      <c r="E29" s="4">
        <f>'[1]ÜDM sahələr üzrə'!AI289</f>
        <v>13512.6</v>
      </c>
      <c r="F29" s="5">
        <f>'[1]ÜDM sahələr üzrə'!AO289</f>
        <v>23788.587379920915</v>
      </c>
    </row>
    <row r="30" spans="1:7" customFormat="1" x14ac:dyDescent="0.2">
      <c r="A30" s="40"/>
      <c r="B30" s="22" t="s">
        <v>7</v>
      </c>
      <c r="C30" s="22" t="s">
        <v>398</v>
      </c>
      <c r="D30" s="96" t="s">
        <v>4</v>
      </c>
      <c r="E30" s="4">
        <f>'[1]ÜDM sahələr üzrə'!AI291</f>
        <v>3.8</v>
      </c>
      <c r="F30" s="5">
        <f>'[1]ÜDM sahələr üzrə'!AO291</f>
        <v>3.9111247238281948</v>
      </c>
    </row>
    <row r="31" spans="1:7" customFormat="1" x14ac:dyDescent="0.2">
      <c r="A31" s="40"/>
      <c r="B31" s="22" t="s">
        <v>45</v>
      </c>
      <c r="C31" s="22" t="s">
        <v>401</v>
      </c>
      <c r="D31" s="96" t="s">
        <v>4</v>
      </c>
      <c r="E31" s="4">
        <f>'[1]ÜDM sahələr üzrə'!AI294</f>
        <v>1.3343640302378788</v>
      </c>
      <c r="F31" s="5">
        <f>'[1]ÜDM sahələr üzrə'!AO294</f>
        <v>7.2035648256658931</v>
      </c>
    </row>
    <row r="32" spans="1:7" customFormat="1" ht="25.5" x14ac:dyDescent="0.2">
      <c r="A32" s="43" t="s">
        <v>153</v>
      </c>
      <c r="B32" s="25" t="s">
        <v>113</v>
      </c>
      <c r="C32" s="25" t="s">
        <v>113</v>
      </c>
      <c r="D32" s="100" t="s">
        <v>20</v>
      </c>
      <c r="E32" s="19">
        <f>E33/'2.4.1.1.'!E$4*100</f>
        <v>2.4444935038786286</v>
      </c>
      <c r="F32" s="20">
        <f>F33/'2.4.1.1.'!F$4*100</f>
        <v>2.1528940017357954</v>
      </c>
    </row>
    <row r="33" spans="1:7" customFormat="1" x14ac:dyDescent="0.2">
      <c r="A33" s="40"/>
      <c r="B33" s="22" t="s">
        <v>57</v>
      </c>
      <c r="C33" s="22" t="s">
        <v>408</v>
      </c>
      <c r="D33" s="96" t="s">
        <v>6</v>
      </c>
      <c r="E33" s="4">
        <f>'[1]ÜDM sahələr üzrə'!AI300</f>
        <v>3088.3</v>
      </c>
      <c r="F33" s="5">
        <f>'[1]ÜDM sahələr üzrə'!AO300</f>
        <v>3625.3216184795942</v>
      </c>
    </row>
    <row r="34" spans="1:7" customFormat="1" x14ac:dyDescent="0.2">
      <c r="A34" s="40"/>
      <c r="B34" s="22" t="s">
        <v>7</v>
      </c>
      <c r="C34" s="22" t="s">
        <v>398</v>
      </c>
      <c r="D34" s="96" t="s">
        <v>4</v>
      </c>
      <c r="E34" s="4">
        <f>'[1]ÜDM sahələr üzrə'!AI302</f>
        <v>12.9</v>
      </c>
      <c r="F34" s="5">
        <f>'[1]ÜDM sahələr üzrə'!AO302</f>
        <v>6.579734823326632</v>
      </c>
    </row>
    <row r="35" spans="1:7" customFormat="1" x14ac:dyDescent="0.2">
      <c r="A35" s="40"/>
      <c r="B35" s="22" t="s">
        <v>45</v>
      </c>
      <c r="C35" s="22" t="s">
        <v>401</v>
      </c>
      <c r="D35" s="96" t="s">
        <v>4</v>
      </c>
      <c r="E35" s="4">
        <f>'[1]ÜDM sahələr üzrə'!AI305</f>
        <v>2.2399395889512732</v>
      </c>
      <c r="F35" s="5">
        <f>'[1]ÜDM sahələr üzrə'!AO305</f>
        <v>7.0659167096999624</v>
      </c>
    </row>
    <row r="36" spans="1:7" customFormat="1" ht="25.5" x14ac:dyDescent="0.2">
      <c r="A36" s="43" t="s">
        <v>357</v>
      </c>
      <c r="B36" s="25" t="s">
        <v>115</v>
      </c>
      <c r="C36" s="25" t="s">
        <v>115</v>
      </c>
      <c r="D36" s="100" t="s">
        <v>20</v>
      </c>
      <c r="E36" s="19">
        <f>E37/'2.4.1.1.'!E$4*100</f>
        <v>6.9836226193604096</v>
      </c>
      <c r="F36" s="20">
        <f>F37/'2.4.1.1.'!F$4*100</f>
        <v>9.0091781419857728</v>
      </c>
    </row>
    <row r="37" spans="1:7" customFormat="1" x14ac:dyDescent="0.2">
      <c r="A37" s="40"/>
      <c r="B37" s="22" t="s">
        <v>57</v>
      </c>
      <c r="C37" s="22" t="s">
        <v>408</v>
      </c>
      <c r="D37" s="96" t="s">
        <v>6</v>
      </c>
      <c r="E37" s="4">
        <f>'[1]ÜDM sahələr üzrə'!AI311</f>
        <v>8822.9</v>
      </c>
      <c r="F37" s="5">
        <f>'[1]ÜDM sahələr üzrə'!AO311</f>
        <v>15170.820419649739</v>
      </c>
    </row>
    <row r="38" spans="1:7" customFormat="1" x14ac:dyDescent="0.2">
      <c r="A38" s="40"/>
      <c r="B38" s="22" t="s">
        <v>7</v>
      </c>
      <c r="C38" s="22" t="s">
        <v>398</v>
      </c>
      <c r="D38" s="96" t="s">
        <v>4</v>
      </c>
      <c r="E38" s="4">
        <f>'[1]ÜDM sahələr üzrə'!AI313</f>
        <v>14.1</v>
      </c>
      <c r="F38" s="5">
        <f>'[1]ÜDM sahələr üzrə'!AO313</f>
        <v>0.55273521848247209</v>
      </c>
    </row>
    <row r="39" spans="1:7" customFormat="1" x14ac:dyDescent="0.2">
      <c r="A39" s="40"/>
      <c r="B39" s="22" t="s">
        <v>45</v>
      </c>
      <c r="C39" s="22" t="s">
        <v>401</v>
      </c>
      <c r="D39" s="96" t="s">
        <v>4</v>
      </c>
      <c r="E39" s="4">
        <f>'[1]ÜDM sahələr üzrə'!AI314</f>
        <v>-1.2060434413920547</v>
      </c>
      <c r="F39" s="5">
        <f>'[1]ÜDM sahələr üzrə'!AO314</f>
        <v>9.4134076613706839</v>
      </c>
    </row>
    <row r="40" spans="1:7" customFormat="1" ht="25.5" x14ac:dyDescent="0.2">
      <c r="A40" s="43" t="s">
        <v>358</v>
      </c>
      <c r="B40" s="25" t="s">
        <v>117</v>
      </c>
      <c r="C40" s="25" t="s">
        <v>117</v>
      </c>
      <c r="D40" s="100" t="s">
        <v>20</v>
      </c>
      <c r="E40" s="19">
        <f>E41/'2.4.1.1.'!E$4*100</f>
        <v>1.8992850961877958</v>
      </c>
      <c r="F40" s="20">
        <f>F41/'2.4.1.1.'!F$4*100</f>
        <v>2.5460893252530061</v>
      </c>
    </row>
    <row r="41" spans="1:7" customFormat="1" x14ac:dyDescent="0.2">
      <c r="A41" s="40"/>
      <c r="B41" s="22" t="s">
        <v>57</v>
      </c>
      <c r="C41" s="22" t="s">
        <v>408</v>
      </c>
      <c r="D41" s="96" t="s">
        <v>6</v>
      </c>
      <c r="E41" s="4">
        <f>'[1]ÜDM sahələr üzrə'!AI320</f>
        <v>2399.5</v>
      </c>
      <c r="F41" s="5">
        <f>'[1]ÜDM sahələr üzrə'!AO320</f>
        <v>4287.4348044900198</v>
      </c>
    </row>
    <row r="42" spans="1:7" customFormat="1" x14ac:dyDescent="0.2">
      <c r="A42" s="40"/>
      <c r="B42" s="22" t="s">
        <v>7</v>
      </c>
      <c r="C42" s="22" t="s">
        <v>398</v>
      </c>
      <c r="D42" s="96" t="s">
        <v>4</v>
      </c>
      <c r="E42" s="4">
        <f>'[1]ÜDM sahələr üzrə'!AI322</f>
        <v>11.4</v>
      </c>
      <c r="F42" s="5">
        <f>'[1]ÜDM sahələr üzrə'!AO322</f>
        <v>10.120068610634661</v>
      </c>
    </row>
    <row r="43" spans="1:7" customFormat="1" x14ac:dyDescent="0.2">
      <c r="A43" s="40"/>
      <c r="B43" s="22" t="s">
        <v>45</v>
      </c>
      <c r="C43" s="22" t="s">
        <v>401</v>
      </c>
      <c r="D43" s="96" t="s">
        <v>4</v>
      </c>
      <c r="E43" s="4">
        <f>'[1]ÜDM sahələr üzrə'!AI323</f>
        <v>0.30500748347672868</v>
      </c>
      <c r="F43" s="5">
        <f>'[1]ÜDM sahələr üzrə'!AO323</f>
        <v>-2.6811250898362005E-3</v>
      </c>
    </row>
    <row r="44" spans="1:7" customFormat="1" ht="25.5" x14ac:dyDescent="0.2">
      <c r="A44" s="43" t="s">
        <v>359</v>
      </c>
      <c r="B44" s="139" t="s">
        <v>119</v>
      </c>
      <c r="C44" s="174" t="s">
        <v>489</v>
      </c>
      <c r="D44" s="100" t="s">
        <v>20</v>
      </c>
      <c r="E44" s="19">
        <f>E45/'2.4.1.1.'!E$4*100</f>
        <v>19.921953210640293</v>
      </c>
      <c r="F44" s="20">
        <f>F45/'2.4.1.1.'!F$4*100</f>
        <v>24.401722527600601</v>
      </c>
      <c r="G44" s="168" t="s">
        <v>397</v>
      </c>
    </row>
    <row r="45" spans="1:7" customFormat="1" x14ac:dyDescent="0.2">
      <c r="A45" s="40"/>
      <c r="B45" s="22" t="s">
        <v>57</v>
      </c>
      <c r="C45" s="22" t="s">
        <v>408</v>
      </c>
      <c r="D45" s="96" t="s">
        <v>6</v>
      </c>
      <c r="E45" s="4">
        <f>'[1]ÜDM sahələr üzrə'!AI327</f>
        <v>25168.799999999999</v>
      </c>
      <c r="F45" s="5">
        <f>'[1]ÜDM sahələr üzrə'!AO327</f>
        <v>41090.779265549441</v>
      </c>
    </row>
    <row r="46" spans="1:7" customFormat="1" x14ac:dyDescent="0.2">
      <c r="A46" s="40"/>
      <c r="B46" s="22" t="s">
        <v>7</v>
      </c>
      <c r="C46" s="22" t="s">
        <v>398</v>
      </c>
      <c r="D46" s="96" t="s">
        <v>4</v>
      </c>
      <c r="E46" s="4">
        <f>'[1]ÜDM sahələr üzrə'!AI329</f>
        <v>4.0490000000000004</v>
      </c>
      <c r="F46" s="5">
        <f>'[1]ÜDM sahələr üzrə'!AO329</f>
        <v>1.8530449951571768</v>
      </c>
    </row>
    <row r="47" spans="1:7" customFormat="1" x14ac:dyDescent="0.2">
      <c r="A47" s="40"/>
      <c r="B47" s="22" t="s">
        <v>45</v>
      </c>
      <c r="C47" s="22" t="s">
        <v>401</v>
      </c>
      <c r="D47" s="96" t="s">
        <v>4</v>
      </c>
      <c r="E47" s="4">
        <f>'[1]ÜDM sahələr üzrə'!AI330</f>
        <v>5.0154871037591704</v>
      </c>
      <c r="F47" s="5">
        <f>'[1]ÜDM sahələr üzrə'!AO330</f>
        <v>6.4625133040066061</v>
      </c>
    </row>
    <row r="48" spans="1:7" customFormat="1" ht="25.5" x14ac:dyDescent="0.2">
      <c r="A48" s="62" t="s">
        <v>18</v>
      </c>
      <c r="B48" s="68" t="s">
        <v>183</v>
      </c>
      <c r="C48" s="68" t="s">
        <v>183</v>
      </c>
      <c r="D48" s="97" t="s">
        <v>20</v>
      </c>
      <c r="E48" s="63">
        <f>E49/'2.4.1.1.'!E$4*100</f>
        <v>9.7858101990745308</v>
      </c>
      <c r="F48" s="64">
        <f>F49/'2.4.1.1.'!F$4*100</f>
        <v>10.098891693733201</v>
      </c>
    </row>
    <row r="49" spans="1:7" s="4" customFormat="1" x14ac:dyDescent="0.2">
      <c r="A49" s="42"/>
      <c r="B49" s="22" t="s">
        <v>57</v>
      </c>
      <c r="C49" s="175" t="s">
        <v>425</v>
      </c>
      <c r="D49" s="96" t="s">
        <v>6</v>
      </c>
      <c r="E49" s="4">
        <f>'[1]ÜDM sahələr üzrə'!AI332</f>
        <v>12363.1</v>
      </c>
      <c r="F49" s="5">
        <f>'[1]ÜDM sahələr üzrə'!AO332</f>
        <v>17005.82116465388</v>
      </c>
      <c r="G49" s="168"/>
    </row>
    <row r="50" spans="1:7" s="4" customFormat="1" x14ac:dyDescent="0.2">
      <c r="A50" s="42"/>
      <c r="B50" s="22" t="s">
        <v>7</v>
      </c>
      <c r="C50" s="22" t="s">
        <v>398</v>
      </c>
      <c r="D50" s="96" t="s">
        <v>4</v>
      </c>
      <c r="E50" s="4">
        <f>'[1]ÜDM sahələr üzrə'!AI333</f>
        <v>5.2962618186935444</v>
      </c>
      <c r="F50" s="5">
        <f>'[1]ÜDM sahələr üzrə'!AO333</f>
        <v>1.24316387346681</v>
      </c>
    </row>
    <row r="51" spans="1:7" s="4" customFormat="1" x14ac:dyDescent="0.2">
      <c r="A51" s="50"/>
      <c r="B51" s="23" t="s">
        <v>45</v>
      </c>
      <c r="C51" s="23" t="s">
        <v>401</v>
      </c>
      <c r="D51" s="98" t="s">
        <v>4</v>
      </c>
      <c r="E51" s="9">
        <f>'[1]ÜDM sahələr üzrə'!AI334</f>
        <v>3.2679184627368159</v>
      </c>
      <c r="F51" s="10">
        <f>'[1]ÜDM sahələr üzrə'!AO334</f>
        <v>3.721853617607735</v>
      </c>
    </row>
  </sheetData>
  <mergeCells count="5">
    <mergeCell ref="A1:E1"/>
    <mergeCell ref="A2:A3"/>
    <mergeCell ref="B2:B3"/>
    <mergeCell ref="D2:D3"/>
    <mergeCell ref="C2:C3"/>
  </mergeCells>
  <pageMargins left="0.54" right="7.8740157480315001E-2" top="0.39370078740157499" bottom="0.59055118110236204" header="0.31496062992126" footer="0.31496062992126"/>
  <pageSetup paperSize="9" scale="94" firstPageNumber="4" orientation="portrait" useFirstPageNumber="1" r:id="rId1"/>
  <headerFooter>
    <oddFooter>&amp;L &amp;Csəh.&amp;P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4">
    <pageSetUpPr fitToPage="1"/>
  </sheetPr>
  <dimension ref="A1:G220"/>
  <sheetViews>
    <sheetView tabSelected="1" view="pageBreakPreview" zoomScaleSheetLayoutView="100" workbookViewId="0">
      <pane xSplit="4" ySplit="3" topLeftCell="E4" activePane="bottomRight" state="frozenSplit"/>
      <selection activeCell="W14" sqref="W14"/>
      <selection pane="topRight" activeCell="W14" sqref="W14"/>
      <selection pane="bottomLeft" activeCell="W14" sqref="W14"/>
      <selection pane="bottomRight" activeCell="C9" sqref="C9"/>
    </sheetView>
  </sheetViews>
  <sheetFormatPr defaultColWidth="9.140625" defaultRowHeight="12.75" outlineLevelRow="1" x14ac:dyDescent="0.2"/>
  <cols>
    <col min="1" max="1" width="5.42578125" style="35" hidden="1" customWidth="1"/>
    <col min="2" max="3" width="32.28515625" style="36" customWidth="1"/>
    <col min="4" max="4" width="9.140625" style="90" customWidth="1"/>
    <col min="5" max="5" width="10.85546875" style="4" customWidth="1"/>
    <col min="6" max="6" width="10.85546875" style="4" hidden="1" customWidth="1"/>
    <col min="7" max="7" width="38" style="37" customWidth="1"/>
    <col min="8" max="16384" width="9.140625" style="37"/>
  </cols>
  <sheetData>
    <row r="1" spans="1:7" customFormat="1" ht="27" customHeight="1" x14ac:dyDescent="0.2">
      <c r="A1" s="205" t="s">
        <v>365</v>
      </c>
      <c r="B1" s="205"/>
      <c r="C1" s="205"/>
      <c r="D1" s="205"/>
      <c r="E1" s="205"/>
      <c r="F1" s="161"/>
    </row>
    <row r="2" spans="1:7" customFormat="1" x14ac:dyDescent="0.2">
      <c r="A2" s="214" t="s">
        <v>0</v>
      </c>
      <c r="B2" s="208" t="s">
        <v>1</v>
      </c>
      <c r="C2" s="212" t="s">
        <v>394</v>
      </c>
      <c r="D2" s="210" t="s">
        <v>2</v>
      </c>
      <c r="E2" s="158"/>
      <c r="F2" s="163"/>
      <c r="G2" s="166" t="s">
        <v>395</v>
      </c>
    </row>
    <row r="3" spans="1:7" customFormat="1" ht="12.4" customHeight="1" x14ac:dyDescent="0.2">
      <c r="A3" s="215"/>
      <c r="B3" s="209"/>
      <c r="C3" s="213"/>
      <c r="D3" s="211"/>
      <c r="E3" s="140">
        <v>2024</v>
      </c>
      <c r="F3" s="160">
        <v>2030</v>
      </c>
    </row>
    <row r="4" spans="1:7" customFormat="1" ht="25.5" x14ac:dyDescent="0.2">
      <c r="A4" s="62" t="s">
        <v>15</v>
      </c>
      <c r="B4" s="122" t="s">
        <v>51</v>
      </c>
      <c r="C4" s="176" t="s">
        <v>405</v>
      </c>
      <c r="D4" s="97"/>
      <c r="E4" s="66"/>
      <c r="F4" s="67"/>
      <c r="G4" s="168" t="s">
        <v>397</v>
      </c>
    </row>
    <row r="5" spans="1:7" customFormat="1" x14ac:dyDescent="0.2">
      <c r="A5" s="72" t="s">
        <v>134</v>
      </c>
      <c r="B5" s="123" t="s">
        <v>184</v>
      </c>
      <c r="C5" s="123" t="s">
        <v>426</v>
      </c>
      <c r="D5" s="101"/>
      <c r="E5" s="73"/>
      <c r="F5" s="74"/>
      <c r="G5" s="168" t="s">
        <v>397</v>
      </c>
    </row>
    <row r="6" spans="1:7" customFormat="1" x14ac:dyDescent="0.2">
      <c r="A6" s="40"/>
      <c r="B6" s="1" t="s">
        <v>185</v>
      </c>
      <c r="C6" s="178" t="s">
        <v>427</v>
      </c>
      <c r="D6" s="93" t="s">
        <v>186</v>
      </c>
      <c r="E6" s="4">
        <f>'[2]4_'!AI8</f>
        <v>3278.1</v>
      </c>
      <c r="F6" s="5">
        <f>'[2]4_'!AO8</f>
        <v>3448.1099999999997</v>
      </c>
      <c r="G6" s="168" t="s">
        <v>397</v>
      </c>
    </row>
    <row r="7" spans="1:7" customFormat="1" x14ac:dyDescent="0.2">
      <c r="A7" s="40"/>
      <c r="B7" s="124" t="s">
        <v>187</v>
      </c>
      <c r="C7" s="124" t="s">
        <v>187</v>
      </c>
      <c r="D7" s="93" t="s">
        <v>186</v>
      </c>
      <c r="E7" s="4">
        <f>'[2]4_'!AI9</f>
        <v>1685.7</v>
      </c>
      <c r="F7" s="5">
        <f>'[2]4_'!AO9</f>
        <v>1684.8</v>
      </c>
    </row>
    <row r="8" spans="1:7" customFormat="1" x14ac:dyDescent="0.2">
      <c r="A8" s="40"/>
      <c r="B8" s="124" t="s">
        <v>188</v>
      </c>
      <c r="C8" s="124" t="s">
        <v>188</v>
      </c>
      <c r="D8" s="93" t="s">
        <v>186</v>
      </c>
      <c r="E8" s="4">
        <f>'[2]4_'!AI10</f>
        <v>19.600000000000001</v>
      </c>
      <c r="F8" s="5">
        <f>'[2]4_'!AO10</f>
        <v>20.96</v>
      </c>
    </row>
    <row r="9" spans="1:7" customFormat="1" x14ac:dyDescent="0.2">
      <c r="A9" s="40"/>
      <c r="B9" s="1" t="s">
        <v>189</v>
      </c>
      <c r="C9" s="1" t="s">
        <v>189</v>
      </c>
      <c r="D9" s="93" t="s">
        <v>186</v>
      </c>
      <c r="E9" s="4">
        <f>'[2]4_'!AI11</f>
        <v>1838.9</v>
      </c>
      <c r="F9" s="5">
        <f>'[2]4_'!AO11</f>
        <v>2022.5</v>
      </c>
    </row>
    <row r="10" spans="1:7" customFormat="1" x14ac:dyDescent="0.2">
      <c r="A10" s="44"/>
      <c r="B10" s="1" t="s">
        <v>190</v>
      </c>
      <c r="C10" s="178" t="s">
        <v>495</v>
      </c>
      <c r="D10" s="93" t="s">
        <v>186</v>
      </c>
      <c r="E10" s="4">
        <f>'[2]4_'!AI12</f>
        <v>490.6</v>
      </c>
      <c r="F10" s="5">
        <f>'[2]4_'!AO12</f>
        <v>539.72</v>
      </c>
      <c r="G10" s="168" t="s">
        <v>397</v>
      </c>
    </row>
    <row r="11" spans="1:7" customFormat="1" x14ac:dyDescent="0.2">
      <c r="A11" s="44"/>
      <c r="B11" s="1" t="s">
        <v>191</v>
      </c>
      <c r="C11" s="1" t="s">
        <v>191</v>
      </c>
      <c r="D11" s="93" t="s">
        <v>186</v>
      </c>
      <c r="E11" s="4">
        <f>'[2]4_'!AI13</f>
        <v>927.4</v>
      </c>
      <c r="F11" s="5">
        <f>'[2]4_'!AO13</f>
        <v>1142.2</v>
      </c>
    </row>
    <row r="12" spans="1:7" customFormat="1" x14ac:dyDescent="0.2">
      <c r="A12" s="44"/>
      <c r="B12" s="1" t="s">
        <v>192</v>
      </c>
      <c r="C12" s="1" t="s">
        <v>192</v>
      </c>
      <c r="D12" s="93" t="s">
        <v>186</v>
      </c>
      <c r="E12" s="4">
        <f>'[2]4_'!AI14</f>
        <v>310.8</v>
      </c>
      <c r="F12" s="5">
        <f>'[2]4_'!AO14</f>
        <v>316.72500000000002</v>
      </c>
    </row>
    <row r="13" spans="1:7" customFormat="1" x14ac:dyDescent="0.2">
      <c r="A13" s="44"/>
      <c r="B13" s="1" t="s">
        <v>193</v>
      </c>
      <c r="C13" s="178" t="s">
        <v>193</v>
      </c>
      <c r="D13" s="93" t="s">
        <v>186</v>
      </c>
      <c r="E13" s="4">
        <f>'[2]4_'!AI15</f>
        <v>6.5</v>
      </c>
      <c r="F13" s="5">
        <f>'[2]4_'!AO15</f>
        <v>6.7375000000000007</v>
      </c>
      <c r="G13" s="168" t="s">
        <v>397</v>
      </c>
    </row>
    <row r="14" spans="1:7" customFormat="1" x14ac:dyDescent="0.2">
      <c r="A14" s="44"/>
      <c r="B14" s="1" t="s">
        <v>194</v>
      </c>
      <c r="C14" s="1" t="s">
        <v>194</v>
      </c>
      <c r="D14" s="93" t="s">
        <v>186</v>
      </c>
      <c r="E14" s="4">
        <f>'[2]4_'!AI16</f>
        <v>290.10000000000002</v>
      </c>
      <c r="F14" s="5">
        <f>'[2]4_'!AO16</f>
        <v>318.24</v>
      </c>
    </row>
    <row r="15" spans="1:7" customFormat="1" x14ac:dyDescent="0.2">
      <c r="A15" s="44"/>
      <c r="B15" s="1" t="s">
        <v>195</v>
      </c>
      <c r="C15" s="1" t="s">
        <v>195</v>
      </c>
      <c r="D15" s="93" t="s">
        <v>186</v>
      </c>
      <c r="E15" s="4">
        <f>'[2]4_'!AI17</f>
        <v>31.2</v>
      </c>
      <c r="F15" s="5">
        <f>'[2]4_'!AO17</f>
        <v>33.699999999999996</v>
      </c>
    </row>
    <row r="16" spans="1:7" customFormat="1" x14ac:dyDescent="0.2">
      <c r="A16" s="44"/>
      <c r="B16" s="1" t="s">
        <v>196</v>
      </c>
      <c r="C16" s="1" t="s">
        <v>196</v>
      </c>
      <c r="D16" s="93" t="s">
        <v>186</v>
      </c>
      <c r="E16" s="4">
        <f>'[2]4_'!AI18</f>
        <v>1317.9</v>
      </c>
      <c r="F16" s="5">
        <f>'[2]4_'!AO18</f>
        <v>1516.08</v>
      </c>
    </row>
    <row r="17" spans="1:7" customFormat="1" x14ac:dyDescent="0.2">
      <c r="A17" s="44"/>
      <c r="B17" s="1" t="s">
        <v>197</v>
      </c>
      <c r="C17" s="1" t="s">
        <v>197</v>
      </c>
      <c r="D17" s="93" t="s">
        <v>186</v>
      </c>
      <c r="E17" s="4">
        <f>'[2]4_'!AI19</f>
        <v>205.1</v>
      </c>
      <c r="F17" s="5">
        <f>'[2]4_'!AO19</f>
        <v>216.98</v>
      </c>
    </row>
    <row r="18" spans="1:7" customFormat="1" x14ac:dyDescent="0.2">
      <c r="A18" s="45"/>
      <c r="B18" s="6" t="s">
        <v>198</v>
      </c>
      <c r="C18" s="179" t="s">
        <v>428</v>
      </c>
      <c r="D18" s="94" t="s">
        <v>186</v>
      </c>
      <c r="E18" s="9">
        <f>'[2]4_'!AI20</f>
        <v>1.0694999999999999</v>
      </c>
      <c r="F18" s="10">
        <f>'[2]4_'!AO20</f>
        <v>1.26</v>
      </c>
      <c r="G18" s="168" t="s">
        <v>397</v>
      </c>
    </row>
    <row r="19" spans="1:7" customFormat="1" x14ac:dyDescent="0.2">
      <c r="A19" s="72" t="s">
        <v>135</v>
      </c>
      <c r="B19" s="123" t="s">
        <v>199</v>
      </c>
      <c r="C19" s="177" t="s">
        <v>429</v>
      </c>
      <c r="D19" s="101"/>
      <c r="E19" s="73"/>
      <c r="F19" s="74"/>
      <c r="G19" s="168" t="s">
        <v>397</v>
      </c>
    </row>
    <row r="20" spans="1:7" customFormat="1" x14ac:dyDescent="0.2">
      <c r="A20" s="40"/>
      <c r="B20" s="1" t="s">
        <v>368</v>
      </c>
      <c r="C20" s="1" t="s">
        <v>368</v>
      </c>
      <c r="D20" s="93" t="s">
        <v>186</v>
      </c>
      <c r="E20" s="4">
        <f>'[2]4_'!AI22</f>
        <v>659</v>
      </c>
      <c r="F20" s="5">
        <f>'[2]4_'!AO22</f>
        <v>741.82087139397686</v>
      </c>
    </row>
    <row r="21" spans="1:7" customFormat="1" x14ac:dyDescent="0.2">
      <c r="A21" s="40"/>
      <c r="B21" s="124" t="s">
        <v>200</v>
      </c>
      <c r="C21" s="124" t="s">
        <v>200</v>
      </c>
      <c r="D21" s="93" t="s">
        <v>186</v>
      </c>
      <c r="E21" s="4">
        <f>'[2]4_'!AI23</f>
        <v>272</v>
      </c>
      <c r="F21" s="5">
        <f>'[2]4_'!AO23</f>
        <v>297.72438409591763</v>
      </c>
    </row>
    <row r="22" spans="1:7" customFormat="1" x14ac:dyDescent="0.2">
      <c r="A22" s="40"/>
      <c r="B22" s="124" t="s">
        <v>201</v>
      </c>
      <c r="C22" s="180" t="s">
        <v>430</v>
      </c>
      <c r="D22" s="93" t="s">
        <v>186</v>
      </c>
      <c r="E22" s="4">
        <f>'[2]4_'!AI24</f>
        <v>185.9</v>
      </c>
      <c r="F22" s="5">
        <f>'[2]4_'!AO24</f>
        <v>195.91300457354092</v>
      </c>
      <c r="G22" s="168" t="s">
        <v>397</v>
      </c>
    </row>
    <row r="23" spans="1:7" customFormat="1" x14ac:dyDescent="0.2">
      <c r="A23" s="40"/>
      <c r="B23" s="124" t="s">
        <v>202</v>
      </c>
      <c r="C23" s="124" t="s">
        <v>202</v>
      </c>
      <c r="D23" s="93" t="s">
        <v>186</v>
      </c>
      <c r="E23" s="4">
        <f>'[2]4_'!AI25</f>
        <v>200.4</v>
      </c>
      <c r="F23" s="5">
        <f>'[2]4_'!AO25</f>
        <v>247.35032552550737</v>
      </c>
    </row>
    <row r="24" spans="1:7" customFormat="1" x14ac:dyDescent="0.2">
      <c r="A24" s="44"/>
      <c r="B24" s="1" t="s">
        <v>203</v>
      </c>
      <c r="C24" s="1" t="s">
        <v>203</v>
      </c>
      <c r="D24" s="93" t="s">
        <v>204</v>
      </c>
      <c r="E24" s="4">
        <f>'[2]4_'!AI26</f>
        <v>2300.8000000000002</v>
      </c>
      <c r="F24" s="5">
        <f>'[2]4_'!AO26</f>
        <v>2728.3340939903997</v>
      </c>
    </row>
    <row r="25" spans="1:7" customFormat="1" x14ac:dyDescent="0.2">
      <c r="A25" s="44"/>
      <c r="B25" s="1" t="s">
        <v>205</v>
      </c>
      <c r="C25" s="1" t="s">
        <v>205</v>
      </c>
      <c r="D25" s="93" t="s">
        <v>186</v>
      </c>
      <c r="E25" s="4">
        <f>'[2]4_'!AI27</f>
        <v>2298.5</v>
      </c>
      <c r="F25" s="5">
        <f>'[2]4_'!AO27</f>
        <v>2500.5104997874155</v>
      </c>
    </row>
    <row r="26" spans="1:7" customFormat="1" x14ac:dyDescent="0.2">
      <c r="A26" s="44"/>
      <c r="B26" s="1" t="s">
        <v>206</v>
      </c>
      <c r="C26" s="1" t="s">
        <v>206</v>
      </c>
      <c r="D26" s="93" t="s">
        <v>186</v>
      </c>
      <c r="E26" s="4">
        <f>'[2]4_'!AI28</f>
        <v>14.8</v>
      </c>
      <c r="F26" s="5">
        <f>'[2]4_'!AO28</f>
        <v>15.721492042208194</v>
      </c>
    </row>
    <row r="27" spans="1:7" customFormat="1" x14ac:dyDescent="0.2">
      <c r="A27" s="44"/>
      <c r="B27" s="1" t="s">
        <v>207</v>
      </c>
      <c r="C27" s="1" t="s">
        <v>207</v>
      </c>
      <c r="D27" s="93" t="s">
        <v>208</v>
      </c>
      <c r="E27" s="4">
        <f>'[2]4_'!AI29</f>
        <v>239.4</v>
      </c>
      <c r="F27" s="5">
        <f>'[2]4_'!AO29</f>
        <v>280</v>
      </c>
    </row>
    <row r="28" spans="1:7" customFormat="1" x14ac:dyDescent="0.2">
      <c r="A28" s="44"/>
      <c r="B28" s="1" t="s">
        <v>209</v>
      </c>
      <c r="C28" s="1" t="s">
        <v>209</v>
      </c>
      <c r="D28" s="93" t="s">
        <v>210</v>
      </c>
      <c r="E28" s="4">
        <f>'[2]4_'!AI30</f>
        <v>2465.6219999999998</v>
      </c>
      <c r="F28" s="5">
        <f>'[2]4_'!AO30</f>
        <v>2537.9281608423826</v>
      </c>
    </row>
    <row r="29" spans="1:7" customFormat="1" x14ac:dyDescent="0.2">
      <c r="A29" s="44"/>
      <c r="B29" s="1" t="s">
        <v>211</v>
      </c>
      <c r="C29" s="178" t="s">
        <v>431</v>
      </c>
      <c r="D29" s="93" t="s">
        <v>210</v>
      </c>
      <c r="E29" s="4">
        <f>'[2]4_'!AI31</f>
        <v>1224.201</v>
      </c>
      <c r="F29" s="5">
        <f>'[2]4_'!AO31</f>
        <v>1250.1268719296327</v>
      </c>
      <c r="G29" s="168" t="s">
        <v>397</v>
      </c>
    </row>
    <row r="30" spans="1:7" customFormat="1" x14ac:dyDescent="0.2">
      <c r="A30" s="44"/>
      <c r="B30" s="1" t="s">
        <v>212</v>
      </c>
      <c r="C30" s="1" t="s">
        <v>212</v>
      </c>
      <c r="D30" s="93" t="s">
        <v>210</v>
      </c>
      <c r="E30" s="4">
        <f>'[2]4_'!AI32</f>
        <v>6896.52</v>
      </c>
      <c r="F30" s="5">
        <f>'[2]4_'!AO32</f>
        <v>6931.0716341996858</v>
      </c>
    </row>
    <row r="31" spans="1:7" customFormat="1" x14ac:dyDescent="0.2">
      <c r="A31" s="44"/>
      <c r="B31" s="1" t="s">
        <v>213</v>
      </c>
      <c r="C31" s="1" t="s">
        <v>213</v>
      </c>
      <c r="D31" s="93" t="s">
        <v>210</v>
      </c>
      <c r="E31" s="4">
        <f>'[2]4_'!AI33</f>
        <v>3.1</v>
      </c>
      <c r="F31" s="5">
        <f>'[2]4_'!AO33</f>
        <v>3.6602897084582406</v>
      </c>
    </row>
    <row r="32" spans="1:7" customFormat="1" x14ac:dyDescent="0.2">
      <c r="A32" s="45"/>
      <c r="B32" s="6" t="s">
        <v>214</v>
      </c>
      <c r="C32" s="179" t="s">
        <v>432</v>
      </c>
      <c r="D32" s="94" t="s">
        <v>215</v>
      </c>
      <c r="E32" s="9">
        <f>'[2]4_'!AI34</f>
        <v>29.3</v>
      </c>
      <c r="F32" s="10">
        <f>'[2]4_'!AO34</f>
        <v>29.6</v>
      </c>
      <c r="G32" s="168" t="s">
        <v>397</v>
      </c>
    </row>
    <row r="33" spans="1:7" customFormat="1" x14ac:dyDescent="0.2">
      <c r="A33" s="62" t="s">
        <v>16</v>
      </c>
      <c r="B33" s="122" t="s">
        <v>59</v>
      </c>
      <c r="C33" s="122" t="s">
        <v>59</v>
      </c>
      <c r="D33" s="97"/>
      <c r="E33" s="66"/>
      <c r="F33" s="67"/>
    </row>
    <row r="34" spans="1:7" customFormat="1" x14ac:dyDescent="0.2">
      <c r="A34" s="72" t="s">
        <v>21</v>
      </c>
      <c r="B34" s="125" t="s">
        <v>60</v>
      </c>
      <c r="C34" s="125" t="s">
        <v>60</v>
      </c>
      <c r="D34" s="101"/>
      <c r="E34" s="73"/>
      <c r="F34" s="74"/>
      <c r="G34" s="168"/>
    </row>
    <row r="35" spans="1:7" customFormat="1" ht="25.5" x14ac:dyDescent="0.2">
      <c r="A35" s="40"/>
      <c r="B35" s="1" t="s">
        <v>216</v>
      </c>
      <c r="C35" s="178" t="s">
        <v>496</v>
      </c>
      <c r="D35" s="93" t="s">
        <v>186</v>
      </c>
      <c r="E35" s="4">
        <f>'[3]O&amp;G'!AI6</f>
        <v>29052.201000000001</v>
      </c>
      <c r="F35" s="5">
        <f>'[3]O&amp;G'!AO6</f>
        <v>27282.867562008782</v>
      </c>
      <c r="G35" s="168" t="s">
        <v>397</v>
      </c>
    </row>
    <row r="36" spans="1:7" customFormat="1" x14ac:dyDescent="0.2">
      <c r="A36" s="40"/>
      <c r="B36" s="126" t="s">
        <v>217</v>
      </c>
      <c r="C36" s="182" t="s">
        <v>433</v>
      </c>
      <c r="D36" s="93" t="s">
        <v>218</v>
      </c>
      <c r="E36" s="4">
        <f>'[3]O&amp;G'!AI29</f>
        <v>50339.394999999997</v>
      </c>
      <c r="F36" s="5">
        <f>'[3]O&amp;G'!AO29</f>
        <v>48054.080790423759</v>
      </c>
      <c r="G36" s="168" t="s">
        <v>397</v>
      </c>
    </row>
    <row r="37" spans="1:7" customFormat="1" x14ac:dyDescent="0.2">
      <c r="A37" s="40"/>
      <c r="B37" s="124" t="s">
        <v>219</v>
      </c>
      <c r="C37" s="124" t="s">
        <v>434</v>
      </c>
      <c r="D37" s="93" t="s">
        <v>218</v>
      </c>
      <c r="E37" s="4">
        <f>'[3]O&amp;G'!AI47</f>
        <v>38608.100000000006</v>
      </c>
      <c r="F37" s="5">
        <f>'[3]O&amp;G'!AO47</f>
        <v>36528.805814658015</v>
      </c>
    </row>
    <row r="38" spans="1:7" customFormat="1" x14ac:dyDescent="0.2">
      <c r="A38" s="72" t="s">
        <v>22</v>
      </c>
      <c r="B38" s="125" t="s">
        <v>61</v>
      </c>
      <c r="C38" s="125" t="s">
        <v>61</v>
      </c>
      <c r="D38" s="101"/>
      <c r="E38" s="73"/>
      <c r="F38" s="74"/>
    </row>
    <row r="39" spans="1:7" customFormat="1" x14ac:dyDescent="0.2">
      <c r="A39" s="40"/>
      <c r="B39" s="54" t="s">
        <v>220</v>
      </c>
      <c r="C39" s="54" t="s">
        <v>220</v>
      </c>
      <c r="D39" s="93" t="s">
        <v>221</v>
      </c>
      <c r="E39" s="4">
        <f>'[4]2.2 VAR'!X15</f>
        <v>2660.9300000000003</v>
      </c>
      <c r="F39" s="5">
        <f>'[4]2.2 VAR'!AD15</f>
        <v>4177.9531403444016</v>
      </c>
    </row>
    <row r="40" spans="1:7" customFormat="1" x14ac:dyDescent="0.2">
      <c r="A40" s="40"/>
      <c r="B40" s="127" t="s">
        <v>369</v>
      </c>
      <c r="C40" s="127" t="s">
        <v>369</v>
      </c>
      <c r="D40" s="93" t="s">
        <v>208</v>
      </c>
      <c r="E40" s="4">
        <f>'[4]2.2 VAR'!X17</f>
        <v>239.89</v>
      </c>
      <c r="F40" s="5">
        <f>'[4]2.2 VAR'!AD17</f>
        <v>27094.223798252224</v>
      </c>
      <c r="G40" s="168"/>
    </row>
    <row r="41" spans="1:7" customFormat="1" ht="25.5" hidden="1" x14ac:dyDescent="0.2">
      <c r="A41" s="72" t="s">
        <v>62</v>
      </c>
      <c r="B41" s="125" t="s">
        <v>63</v>
      </c>
      <c r="C41" s="125" t="s">
        <v>63</v>
      </c>
      <c r="D41" s="101"/>
      <c r="E41" s="73"/>
      <c r="F41" s="74"/>
    </row>
    <row r="42" spans="1:7" customFormat="1" ht="25.5" hidden="1" x14ac:dyDescent="0.2">
      <c r="A42" s="40"/>
      <c r="B42" s="15" t="s">
        <v>222</v>
      </c>
      <c r="C42" s="15" t="s">
        <v>222</v>
      </c>
      <c r="D42" s="93" t="s">
        <v>186</v>
      </c>
      <c r="E42" s="4">
        <f>'[4]2.3'!X17</f>
        <v>4057.8321000000001</v>
      </c>
      <c r="F42" s="5">
        <f>'[4]2.3'!AD17</f>
        <v>4423.0269836607213</v>
      </c>
    </row>
    <row r="43" spans="1:7" customFormat="1" hidden="1" x14ac:dyDescent="0.2">
      <c r="A43" s="40"/>
      <c r="B43" s="128" t="s">
        <v>223</v>
      </c>
      <c r="C43" s="128" t="s">
        <v>223</v>
      </c>
      <c r="D43" s="93" t="s">
        <v>186</v>
      </c>
      <c r="E43" s="4">
        <f>'[4]2.3'!X13</f>
        <v>250.0445</v>
      </c>
      <c r="F43" s="5">
        <f>'[4]2.3'!AD13</f>
        <v>231.4</v>
      </c>
    </row>
    <row r="44" spans="1:7" customFormat="1" hidden="1" x14ac:dyDescent="0.2">
      <c r="A44" s="40"/>
      <c r="B44" s="128" t="s">
        <v>224</v>
      </c>
      <c r="C44" s="128" t="s">
        <v>224</v>
      </c>
      <c r="D44" s="93" t="s">
        <v>186</v>
      </c>
      <c r="E44" s="4">
        <f>'[4]2.3'!X14</f>
        <v>566.64094999999998</v>
      </c>
      <c r="F44" s="5">
        <f>'[4]2.3'!AD14</f>
        <v>604.60714136520915</v>
      </c>
    </row>
    <row r="45" spans="1:7" customFormat="1" hidden="1" x14ac:dyDescent="0.2">
      <c r="A45" s="41"/>
      <c r="B45" s="129" t="s">
        <v>225</v>
      </c>
      <c r="C45" s="129" t="s">
        <v>225</v>
      </c>
      <c r="D45" s="94" t="s">
        <v>186</v>
      </c>
      <c r="E45" s="9">
        <f>'[4]2.3'!X16</f>
        <v>1501.6291000000001</v>
      </c>
      <c r="F45" s="10">
        <f>'[4]2.3'!AD16</f>
        <v>1734.4235554469276</v>
      </c>
    </row>
    <row r="46" spans="1:7" customFormat="1" x14ac:dyDescent="0.2">
      <c r="A46" s="71" t="s">
        <v>8</v>
      </c>
      <c r="B46" s="130" t="s">
        <v>66</v>
      </c>
      <c r="C46" s="130" t="s">
        <v>66</v>
      </c>
      <c r="D46" s="95"/>
      <c r="E46" s="66"/>
      <c r="F46" s="67"/>
    </row>
    <row r="47" spans="1:7" customFormat="1" hidden="1" x14ac:dyDescent="0.2">
      <c r="A47" s="72" t="s">
        <v>9</v>
      </c>
      <c r="B47" s="123" t="s">
        <v>67</v>
      </c>
      <c r="C47" s="123" t="s">
        <v>67</v>
      </c>
      <c r="D47" s="101"/>
      <c r="E47" s="73"/>
      <c r="F47" s="74"/>
    </row>
    <row r="48" spans="1:7" customFormat="1" hidden="1" x14ac:dyDescent="0.2">
      <c r="A48" s="40"/>
      <c r="B48" s="1" t="s">
        <v>226</v>
      </c>
      <c r="C48" s="1" t="s">
        <v>226</v>
      </c>
      <c r="D48" s="93" t="s">
        <v>186</v>
      </c>
      <c r="E48" s="4" t="e">
        <f>#REF!</f>
        <v>#REF!</v>
      </c>
      <c r="F48" s="5" t="e">
        <f>#REF!</f>
        <v>#REF!</v>
      </c>
    </row>
    <row r="49" spans="1:7" customFormat="1" hidden="1" x14ac:dyDescent="0.2">
      <c r="A49" s="40"/>
      <c r="B49" s="1" t="s">
        <v>227</v>
      </c>
      <c r="C49" s="1" t="s">
        <v>227</v>
      </c>
      <c r="D49" s="93" t="s">
        <v>186</v>
      </c>
      <c r="E49" s="4" t="e">
        <f>#REF!</f>
        <v>#REF!</v>
      </c>
      <c r="F49" s="5" t="e">
        <f>#REF!</f>
        <v>#REF!</v>
      </c>
    </row>
    <row r="50" spans="1:7" customFormat="1" hidden="1" x14ac:dyDescent="0.2">
      <c r="A50" s="40"/>
      <c r="B50" s="1" t="s">
        <v>228</v>
      </c>
      <c r="C50" s="1" t="s">
        <v>228</v>
      </c>
      <c r="D50" s="93" t="s">
        <v>229</v>
      </c>
      <c r="E50" s="4" t="e">
        <f>#REF!</f>
        <v>#REF!</v>
      </c>
      <c r="F50" s="5" t="e">
        <f>#REF!</f>
        <v>#REF!</v>
      </c>
    </row>
    <row r="51" spans="1:7" customFormat="1" hidden="1" x14ac:dyDescent="0.2">
      <c r="A51" s="40"/>
      <c r="B51" s="1" t="s">
        <v>230</v>
      </c>
      <c r="C51" s="1" t="s">
        <v>230</v>
      </c>
      <c r="D51" s="93" t="s">
        <v>186</v>
      </c>
      <c r="E51" s="4" t="e">
        <f>#REF!</f>
        <v>#REF!</v>
      </c>
      <c r="F51" s="5" t="e">
        <f>#REF!</f>
        <v>#REF!</v>
      </c>
    </row>
    <row r="52" spans="1:7" customFormat="1" hidden="1" x14ac:dyDescent="0.2">
      <c r="A52" s="40"/>
      <c r="B52" s="1" t="s">
        <v>231</v>
      </c>
      <c r="C52" s="1" t="s">
        <v>231</v>
      </c>
      <c r="D52" s="93" t="s">
        <v>186</v>
      </c>
      <c r="E52" s="4" t="e">
        <f>#REF!</f>
        <v>#REF!</v>
      </c>
      <c r="F52" s="5" t="e">
        <f>#REF!</f>
        <v>#REF!</v>
      </c>
    </row>
    <row r="53" spans="1:7" customFormat="1" hidden="1" x14ac:dyDescent="0.2">
      <c r="A53" s="40"/>
      <c r="B53" s="1" t="s">
        <v>232</v>
      </c>
      <c r="C53" s="1" t="s">
        <v>232</v>
      </c>
      <c r="D53" s="93" t="s">
        <v>186</v>
      </c>
      <c r="E53" s="4" t="e">
        <f>#REF!</f>
        <v>#REF!</v>
      </c>
      <c r="F53" s="5" t="e">
        <f>#REF!</f>
        <v>#REF!</v>
      </c>
    </row>
    <row r="54" spans="1:7" customFormat="1" hidden="1" x14ac:dyDescent="0.2">
      <c r="A54" s="40"/>
      <c r="B54" s="1" t="s">
        <v>233</v>
      </c>
      <c r="C54" s="1" t="s">
        <v>233</v>
      </c>
      <c r="D54" s="93" t="s">
        <v>186</v>
      </c>
      <c r="E54" s="4" t="e">
        <f>#REF!</f>
        <v>#REF!</v>
      </c>
      <c r="F54" s="5" t="e">
        <f>#REF!</f>
        <v>#REF!</v>
      </c>
    </row>
    <row r="55" spans="1:7" customFormat="1" hidden="1" x14ac:dyDescent="0.2">
      <c r="A55" s="40"/>
      <c r="B55" s="1" t="s">
        <v>234</v>
      </c>
      <c r="C55" s="1" t="s">
        <v>234</v>
      </c>
      <c r="D55" s="93" t="s">
        <v>186</v>
      </c>
      <c r="E55" s="4" t="e">
        <f>#REF!</f>
        <v>#REF!</v>
      </c>
      <c r="F55" s="5" t="e">
        <f>#REF!</f>
        <v>#REF!</v>
      </c>
    </row>
    <row r="56" spans="1:7" customFormat="1" hidden="1" x14ac:dyDescent="0.2">
      <c r="A56" s="40"/>
      <c r="B56" s="1" t="s">
        <v>235</v>
      </c>
      <c r="C56" s="1" t="s">
        <v>235</v>
      </c>
      <c r="D56" s="93" t="s">
        <v>186</v>
      </c>
      <c r="E56" s="4" t="e">
        <f>#REF!</f>
        <v>#REF!</v>
      </c>
      <c r="F56" s="5" t="e">
        <f>#REF!</f>
        <v>#REF!</v>
      </c>
    </row>
    <row r="57" spans="1:7" customFormat="1" hidden="1" x14ac:dyDescent="0.2">
      <c r="A57" s="40"/>
      <c r="B57" s="1" t="s">
        <v>236</v>
      </c>
      <c r="C57" s="1" t="s">
        <v>236</v>
      </c>
      <c r="D57" s="93" t="s">
        <v>186</v>
      </c>
      <c r="E57" s="4" t="e">
        <f>#REF!</f>
        <v>#REF!</v>
      </c>
      <c r="F57" s="5" t="e">
        <f>#REF!</f>
        <v>#REF!</v>
      </c>
    </row>
    <row r="58" spans="1:7" customFormat="1" hidden="1" x14ac:dyDescent="0.2">
      <c r="A58" s="45"/>
      <c r="B58" s="6" t="s">
        <v>237</v>
      </c>
      <c r="C58" s="6" t="s">
        <v>237</v>
      </c>
      <c r="D58" s="94" t="s">
        <v>186</v>
      </c>
      <c r="E58" s="9" t="e">
        <f>#REF!</f>
        <v>#REF!</v>
      </c>
      <c r="F58" s="10" t="e">
        <f>#REF!</f>
        <v>#REF!</v>
      </c>
    </row>
    <row r="59" spans="1:7" customFormat="1" x14ac:dyDescent="0.2">
      <c r="A59" s="72" t="s">
        <v>10</v>
      </c>
      <c r="B59" s="131" t="s">
        <v>68</v>
      </c>
      <c r="C59" s="131" t="s">
        <v>68</v>
      </c>
      <c r="D59" s="101"/>
      <c r="E59" s="73"/>
      <c r="F59" s="74"/>
    </row>
    <row r="60" spans="1:7" customFormat="1" x14ac:dyDescent="0.2">
      <c r="A60" s="40"/>
      <c r="B60" s="1" t="s">
        <v>238</v>
      </c>
      <c r="C60" s="1" t="s">
        <v>238</v>
      </c>
      <c r="D60" s="93" t="s">
        <v>229</v>
      </c>
      <c r="E60" s="4">
        <f>'[4]3.2. VAR'!X34</f>
        <v>48.6</v>
      </c>
      <c r="F60" s="5">
        <f>'[4]3.2. VAR'!AD34</f>
        <v>2.75</v>
      </c>
    </row>
    <row r="61" spans="1:7" customFormat="1" x14ac:dyDescent="0.2">
      <c r="A61" s="40"/>
      <c r="B61" s="1" t="s">
        <v>377</v>
      </c>
      <c r="C61" s="1" t="s">
        <v>435</v>
      </c>
      <c r="D61" s="93" t="s">
        <v>229</v>
      </c>
      <c r="E61" s="4">
        <f>'[4]3.2. VAR'!X24</f>
        <v>1504.4</v>
      </c>
      <c r="F61" s="5">
        <f>'[4]3.2. VAR'!AD24</f>
        <v>1828.2015594272002</v>
      </c>
      <c r="G61" s="168"/>
    </row>
    <row r="62" spans="1:7" customFormat="1" ht="25.5" x14ac:dyDescent="0.2">
      <c r="A62" s="40"/>
      <c r="B62" s="1" t="s">
        <v>381</v>
      </c>
      <c r="C62" s="1" t="s">
        <v>436</v>
      </c>
      <c r="D62" s="93" t="s">
        <v>229</v>
      </c>
      <c r="E62" s="4">
        <f>'[4]3.2. VAR'!X29+'[4]3.2. VAR'!X30+'[4]3.2. VAR'!X31+'[4]3.2. VAR'!X32+'[4]3.2. VAR'!X33</f>
        <v>907.00000000000011</v>
      </c>
      <c r="F62" s="5">
        <f>'[4]3.2. VAR'!AD29+'[4]3.2. VAR'!AD30+'[4]3.2. VAR'!AD31+'[4]3.2. VAR'!AD32+'[4]3.2. VAR'!AD33</f>
        <v>1024.6203079778466</v>
      </c>
    </row>
    <row r="63" spans="1:7" customFormat="1" x14ac:dyDescent="0.2">
      <c r="A63" s="40"/>
      <c r="B63" s="1" t="s">
        <v>378</v>
      </c>
      <c r="C63" s="1" t="s">
        <v>378</v>
      </c>
      <c r="D63" s="93" t="s">
        <v>229</v>
      </c>
      <c r="E63" s="4">
        <f>'[4]3.2. VAR'!X27</f>
        <v>5312.9</v>
      </c>
      <c r="F63" s="5">
        <f>'[4]3.2. VAR'!AD27</f>
        <v>5875.3598883969389</v>
      </c>
    </row>
    <row r="64" spans="1:7" customFormat="1" hidden="1" x14ac:dyDescent="0.2">
      <c r="A64" s="40"/>
      <c r="B64" s="1" t="s">
        <v>379</v>
      </c>
      <c r="C64" s="1" t="s">
        <v>379</v>
      </c>
      <c r="D64" s="93" t="s">
        <v>229</v>
      </c>
      <c r="E64" s="4">
        <f>'[4]3.2. VAR'!X26</f>
        <v>758.6</v>
      </c>
      <c r="F64" s="5">
        <f>'[4]3.2. VAR'!AD26</f>
        <v>929.3105241408</v>
      </c>
    </row>
    <row r="65" spans="1:7" customFormat="1" hidden="1" x14ac:dyDescent="0.2">
      <c r="A65" s="41"/>
      <c r="B65" s="6" t="s">
        <v>239</v>
      </c>
      <c r="C65" s="6" t="s">
        <v>239</v>
      </c>
      <c r="D65" s="94" t="s">
        <v>229</v>
      </c>
      <c r="E65" s="9">
        <f>'[4]3.2. VAR'!X21</f>
        <v>49863.8</v>
      </c>
      <c r="F65" s="10">
        <f>'[4]3.2. VAR'!AD21</f>
        <v>53022.07231856302</v>
      </c>
    </row>
    <row r="66" spans="1:7" customFormat="1" x14ac:dyDescent="0.2">
      <c r="A66" s="72" t="s">
        <v>69</v>
      </c>
      <c r="B66" s="125" t="s">
        <v>70</v>
      </c>
      <c r="C66" s="125" t="s">
        <v>70</v>
      </c>
      <c r="D66" s="101"/>
      <c r="E66" s="73"/>
      <c r="F66" s="74"/>
    </row>
    <row r="67" spans="1:7" customFormat="1" ht="54.75" customHeight="1" x14ac:dyDescent="0.2">
      <c r="A67" s="40"/>
      <c r="B67" s="1" t="s">
        <v>382</v>
      </c>
      <c r="C67" s="1" t="s">
        <v>382</v>
      </c>
      <c r="D67" s="93" t="s">
        <v>208</v>
      </c>
      <c r="E67" s="4">
        <f>'[4]3.3.'!X9</f>
        <v>3804.9</v>
      </c>
      <c r="F67" s="5">
        <f>'[4]3.3.'!AD9</f>
        <v>3943.9251923076931</v>
      </c>
    </row>
    <row r="68" spans="1:7" customFormat="1" ht="25.5" x14ac:dyDescent="0.2">
      <c r="A68" s="41"/>
      <c r="B68" s="6" t="s">
        <v>389</v>
      </c>
      <c r="C68" s="6" t="s">
        <v>497</v>
      </c>
      <c r="D68" s="94" t="s">
        <v>240</v>
      </c>
      <c r="E68" s="9">
        <f>'[4]3.3.'!X10</f>
        <v>15192.27</v>
      </c>
      <c r="F68" s="10">
        <f>'[4]3.3.'!AD10</f>
        <v>17877.138999999999</v>
      </c>
      <c r="G68" s="168"/>
    </row>
    <row r="69" spans="1:7" customFormat="1" ht="25.5" hidden="1" x14ac:dyDescent="0.2">
      <c r="A69" s="72" t="s">
        <v>71</v>
      </c>
      <c r="B69" s="125" t="s">
        <v>72</v>
      </c>
      <c r="C69" s="181" t="s">
        <v>412</v>
      </c>
      <c r="D69" s="101"/>
      <c r="E69" s="73"/>
      <c r="F69" s="74"/>
      <c r="G69" s="168" t="s">
        <v>397</v>
      </c>
    </row>
    <row r="70" spans="1:7" customFormat="1" hidden="1" x14ac:dyDescent="0.2">
      <c r="A70" s="40"/>
      <c r="B70" s="1" t="s">
        <v>241</v>
      </c>
      <c r="C70" s="1" t="s">
        <v>241</v>
      </c>
      <c r="D70" s="93" t="s">
        <v>186</v>
      </c>
      <c r="E70" s="4">
        <v>137.10462479999995</v>
      </c>
      <c r="F70" s="5">
        <v>137.10462479999995</v>
      </c>
    </row>
    <row r="71" spans="1:7" customFormat="1" ht="38.25" hidden="1" x14ac:dyDescent="0.2">
      <c r="A71" s="40"/>
      <c r="B71" s="126" t="s">
        <v>242</v>
      </c>
      <c r="C71" s="126" t="s">
        <v>242</v>
      </c>
      <c r="D71" s="93" t="s">
        <v>208</v>
      </c>
      <c r="E71" s="4">
        <v>36071.057969100009</v>
      </c>
      <c r="F71" s="5">
        <v>36071.057969100009</v>
      </c>
    </row>
    <row r="72" spans="1:7" customFormat="1" hidden="1" x14ac:dyDescent="0.2">
      <c r="A72" s="40"/>
      <c r="B72" s="126" t="s">
        <v>243</v>
      </c>
      <c r="C72" s="126" t="s">
        <v>243</v>
      </c>
      <c r="D72" s="93" t="s">
        <v>244</v>
      </c>
      <c r="E72" s="4">
        <v>30.282240000000009</v>
      </c>
      <c r="F72" s="5">
        <v>30.282240000000009</v>
      </c>
    </row>
    <row r="73" spans="1:7" customFormat="1" hidden="1" x14ac:dyDescent="0.2">
      <c r="A73" s="72" t="s">
        <v>73</v>
      </c>
      <c r="B73" s="125" t="s">
        <v>74</v>
      </c>
      <c r="C73" s="125" t="s">
        <v>74</v>
      </c>
      <c r="D73" s="101"/>
      <c r="E73" s="73"/>
      <c r="F73" s="74"/>
    </row>
    <row r="74" spans="1:7" customFormat="1" ht="25.5" hidden="1" x14ac:dyDescent="0.2">
      <c r="A74" s="40"/>
      <c r="B74" s="1" t="s">
        <v>245</v>
      </c>
      <c r="C74" s="1" t="s">
        <v>245</v>
      </c>
      <c r="D74" s="93" t="s">
        <v>39</v>
      </c>
      <c r="E74" s="4">
        <v>66.210743999999991</v>
      </c>
      <c r="F74" s="5">
        <v>66.210743999999991</v>
      </c>
    </row>
    <row r="75" spans="1:7" customFormat="1" hidden="1" x14ac:dyDescent="0.2">
      <c r="A75" s="40"/>
      <c r="B75" s="126" t="s">
        <v>246</v>
      </c>
      <c r="C75" s="126" t="s">
        <v>246</v>
      </c>
      <c r="D75" s="93" t="s">
        <v>39</v>
      </c>
      <c r="E75" s="4">
        <v>455.24886118655996</v>
      </c>
      <c r="F75" s="5">
        <v>455.24886118655996</v>
      </c>
    </row>
    <row r="76" spans="1:7" customFormat="1" ht="25.5" hidden="1" x14ac:dyDescent="0.2">
      <c r="A76" s="40"/>
      <c r="B76" s="126" t="s">
        <v>247</v>
      </c>
      <c r="C76" s="126" t="s">
        <v>247</v>
      </c>
      <c r="D76" s="93" t="s">
        <v>39</v>
      </c>
      <c r="E76" s="4">
        <v>325.12234006890003</v>
      </c>
      <c r="F76" s="5">
        <v>325.12234006890003</v>
      </c>
    </row>
    <row r="77" spans="1:7" customFormat="1" ht="38.25" hidden="1" x14ac:dyDescent="0.2">
      <c r="A77" s="40"/>
      <c r="B77" s="126" t="s">
        <v>248</v>
      </c>
      <c r="C77" s="126" t="s">
        <v>248</v>
      </c>
      <c r="D77" s="93" t="s">
        <v>39</v>
      </c>
      <c r="E77" s="4">
        <v>58.402012500000012</v>
      </c>
      <c r="F77" s="5">
        <v>58.402012500000012</v>
      </c>
    </row>
    <row r="78" spans="1:7" customFormat="1" hidden="1" x14ac:dyDescent="0.2">
      <c r="A78" s="40"/>
      <c r="B78" s="126" t="s">
        <v>249</v>
      </c>
      <c r="C78" s="126" t="s">
        <v>249</v>
      </c>
      <c r="D78" s="93" t="s">
        <v>250</v>
      </c>
      <c r="E78" s="4">
        <v>3225.8931825120003</v>
      </c>
      <c r="F78" s="5">
        <v>3225.8931825120003</v>
      </c>
    </row>
    <row r="79" spans="1:7" customFormat="1" ht="38.25" hidden="1" x14ac:dyDescent="0.2">
      <c r="A79" s="40"/>
      <c r="B79" s="126" t="s">
        <v>251</v>
      </c>
      <c r="C79" s="126" t="s">
        <v>437</v>
      </c>
      <c r="D79" s="93" t="s">
        <v>39</v>
      </c>
      <c r="E79" s="4">
        <v>460.03366800000003</v>
      </c>
      <c r="F79" s="5">
        <v>460.03366800000003</v>
      </c>
    </row>
    <row r="80" spans="1:7" customFormat="1" ht="25.5" hidden="1" x14ac:dyDescent="0.2">
      <c r="A80" s="40"/>
      <c r="B80" s="126" t="s">
        <v>252</v>
      </c>
      <c r="C80" s="126" t="s">
        <v>252</v>
      </c>
      <c r="D80" s="93" t="s">
        <v>39</v>
      </c>
      <c r="E80" s="4">
        <v>177.83369999999996</v>
      </c>
      <c r="F80" s="5">
        <v>177.83369999999996</v>
      </c>
    </row>
    <row r="81" spans="1:7" customFormat="1" hidden="1" x14ac:dyDescent="0.2">
      <c r="A81" s="40"/>
      <c r="B81" s="126" t="s">
        <v>253</v>
      </c>
      <c r="C81" s="126" t="s">
        <v>253</v>
      </c>
      <c r="D81" s="93" t="s">
        <v>39</v>
      </c>
      <c r="E81" s="4">
        <v>17.256959999999999</v>
      </c>
      <c r="F81" s="5">
        <v>17.256959999999999</v>
      </c>
    </row>
    <row r="82" spans="1:7" customFormat="1" ht="25.5" hidden="1" x14ac:dyDescent="0.2">
      <c r="A82" s="41"/>
      <c r="B82" s="129" t="s">
        <v>254</v>
      </c>
      <c r="C82" s="129" t="s">
        <v>254</v>
      </c>
      <c r="D82" s="94" t="s">
        <v>39</v>
      </c>
      <c r="E82" s="9">
        <v>211.06261995</v>
      </c>
      <c r="F82" s="10">
        <v>211.06261995</v>
      </c>
    </row>
    <row r="83" spans="1:7" customFormat="1" ht="25.5" hidden="1" x14ac:dyDescent="0.2">
      <c r="A83" s="72" t="s">
        <v>75</v>
      </c>
      <c r="B83" s="125" t="s">
        <v>76</v>
      </c>
      <c r="C83" s="125" t="s">
        <v>76</v>
      </c>
      <c r="D83" s="101"/>
      <c r="E83" s="73"/>
      <c r="F83" s="74"/>
    </row>
    <row r="84" spans="1:7" customFormat="1" ht="25.5" hidden="1" x14ac:dyDescent="0.2">
      <c r="A84" s="40"/>
      <c r="B84" s="1" t="s">
        <v>255</v>
      </c>
      <c r="C84" s="1" t="s">
        <v>255</v>
      </c>
      <c r="D84" s="93" t="s">
        <v>256</v>
      </c>
      <c r="E84" s="4">
        <v>214.7</v>
      </c>
      <c r="F84" s="5">
        <v>214.7</v>
      </c>
    </row>
    <row r="85" spans="1:7" customFormat="1" hidden="1" x14ac:dyDescent="0.2">
      <c r="A85" s="40"/>
      <c r="B85" s="126" t="s">
        <v>257</v>
      </c>
      <c r="C85" s="126" t="s">
        <v>257</v>
      </c>
      <c r="D85" s="93" t="s">
        <v>208</v>
      </c>
      <c r="E85" s="4">
        <v>155.30000000000001</v>
      </c>
      <c r="F85" s="5">
        <v>155.30000000000001</v>
      </c>
    </row>
    <row r="86" spans="1:7" customFormat="1" hidden="1" x14ac:dyDescent="0.2">
      <c r="A86" s="40"/>
      <c r="B86" s="126" t="s">
        <v>258</v>
      </c>
      <c r="C86" s="126" t="s">
        <v>258</v>
      </c>
      <c r="D86" s="93" t="s">
        <v>250</v>
      </c>
      <c r="E86" s="4">
        <v>510.4</v>
      </c>
      <c r="F86" s="5">
        <v>510.4</v>
      </c>
    </row>
    <row r="87" spans="1:7" customFormat="1" ht="25.5" hidden="1" x14ac:dyDescent="0.2">
      <c r="A87" s="72" t="s">
        <v>77</v>
      </c>
      <c r="B87" s="125" t="s">
        <v>78</v>
      </c>
      <c r="C87" s="181" t="s">
        <v>413</v>
      </c>
      <c r="D87" s="101"/>
      <c r="E87" s="73"/>
      <c r="F87" s="74"/>
      <c r="G87" s="168" t="s">
        <v>397</v>
      </c>
    </row>
    <row r="88" spans="1:7" customFormat="1" hidden="1" x14ac:dyDescent="0.2">
      <c r="A88" s="40"/>
      <c r="B88" s="1" t="s">
        <v>259</v>
      </c>
      <c r="C88" s="1" t="s">
        <v>438</v>
      </c>
      <c r="D88" s="93" t="s">
        <v>256</v>
      </c>
      <c r="E88" s="4">
        <v>27.685112666399998</v>
      </c>
      <c r="F88" s="5">
        <v>27.685112666399998</v>
      </c>
    </row>
    <row r="89" spans="1:7" customFormat="1" ht="25.5" hidden="1" x14ac:dyDescent="0.2">
      <c r="A89" s="41"/>
      <c r="B89" s="6" t="s">
        <v>260</v>
      </c>
      <c r="C89" s="6" t="s">
        <v>260</v>
      </c>
      <c r="D89" s="94" t="s">
        <v>261</v>
      </c>
      <c r="E89" s="9">
        <v>11172</v>
      </c>
      <c r="F89" s="10">
        <v>11172</v>
      </c>
    </row>
    <row r="90" spans="1:7" customFormat="1" hidden="1" x14ac:dyDescent="0.2">
      <c r="A90" s="72" t="s">
        <v>79</v>
      </c>
      <c r="B90" s="125" t="s">
        <v>80</v>
      </c>
      <c r="C90" s="125" t="s">
        <v>80</v>
      </c>
      <c r="D90" s="101"/>
      <c r="E90" s="73"/>
      <c r="F90" s="74"/>
    </row>
    <row r="91" spans="1:7" customFormat="1" ht="25.5" hidden="1" x14ac:dyDescent="0.2">
      <c r="A91" s="40"/>
      <c r="B91" s="1" t="s">
        <v>262</v>
      </c>
      <c r="C91" s="1" t="s">
        <v>262</v>
      </c>
      <c r="D91" s="93" t="s">
        <v>208</v>
      </c>
      <c r="E91" s="4">
        <v>12812</v>
      </c>
      <c r="F91" s="5">
        <v>12812</v>
      </c>
    </row>
    <row r="92" spans="1:7" customFormat="1" hidden="1" x14ac:dyDescent="0.2">
      <c r="A92" s="41"/>
      <c r="B92" s="6" t="s">
        <v>263</v>
      </c>
      <c r="C92" s="6" t="s">
        <v>263</v>
      </c>
      <c r="D92" s="94" t="s">
        <v>208</v>
      </c>
      <c r="E92" s="9">
        <v>5871.2668707000003</v>
      </c>
      <c r="F92" s="10">
        <v>5871.2668707000003</v>
      </c>
    </row>
    <row r="93" spans="1:7" customFormat="1" hidden="1" x14ac:dyDescent="0.2">
      <c r="A93" s="72" t="s">
        <v>81</v>
      </c>
      <c r="B93" s="125" t="s">
        <v>82</v>
      </c>
      <c r="C93" s="181" t="s">
        <v>414</v>
      </c>
      <c r="D93" s="101"/>
      <c r="E93" s="73"/>
      <c r="F93" s="74"/>
      <c r="G93" s="168" t="s">
        <v>397</v>
      </c>
    </row>
    <row r="94" spans="1:7" customFormat="1" ht="25.5" hidden="1" x14ac:dyDescent="0.2">
      <c r="A94" s="40"/>
      <c r="B94" s="1" t="s">
        <v>264</v>
      </c>
      <c r="C94" s="1" t="s">
        <v>264</v>
      </c>
      <c r="D94" s="93" t="s">
        <v>39</v>
      </c>
      <c r="E94" s="4">
        <v>80661.843396288008</v>
      </c>
      <c r="F94" s="5">
        <v>80661.843396288008</v>
      </c>
    </row>
    <row r="95" spans="1:7" customFormat="1" ht="38.25" hidden="1" x14ac:dyDescent="0.2">
      <c r="A95" s="41"/>
      <c r="B95" s="129" t="s">
        <v>265</v>
      </c>
      <c r="C95" s="129" t="s">
        <v>265</v>
      </c>
      <c r="D95" s="94" t="s">
        <v>39</v>
      </c>
      <c r="E95" s="9">
        <v>5572.4759999999997</v>
      </c>
      <c r="F95" s="10">
        <v>5572.4759999999997</v>
      </c>
    </row>
    <row r="96" spans="1:7" customFormat="1" x14ac:dyDescent="0.2">
      <c r="A96" s="116" t="s">
        <v>83</v>
      </c>
      <c r="B96" s="132" t="s">
        <v>84</v>
      </c>
      <c r="C96" s="132" t="s">
        <v>84</v>
      </c>
      <c r="D96" s="117"/>
      <c r="E96" s="118"/>
      <c r="F96" s="119"/>
    </row>
    <row r="97" spans="1:7" customFormat="1" x14ac:dyDescent="0.2">
      <c r="A97" s="40"/>
      <c r="B97" s="1" t="s">
        <v>266</v>
      </c>
      <c r="C97" s="1" t="s">
        <v>266</v>
      </c>
      <c r="D97" s="93" t="s">
        <v>186</v>
      </c>
      <c r="E97" s="4">
        <f>[3]OILPROC!AJ7</f>
        <v>5331.7919999999995</v>
      </c>
      <c r="F97" s="5">
        <f>[3]OILPROC!AP7</f>
        <v>6093.0449999999983</v>
      </c>
    </row>
    <row r="98" spans="1:7" customFormat="1" x14ac:dyDescent="0.2">
      <c r="A98" s="40"/>
      <c r="B98" s="124" t="s">
        <v>267</v>
      </c>
      <c r="C98" s="180" t="s">
        <v>439</v>
      </c>
      <c r="D98" s="93" t="s">
        <v>186</v>
      </c>
      <c r="E98" s="4">
        <f>[3]OILPROC!AJ8</f>
        <v>1248.4519999999998</v>
      </c>
      <c r="F98" s="5">
        <f>[3]OILPROC!AP8</f>
        <v>1588.8630000000001</v>
      </c>
      <c r="G98" s="168" t="s">
        <v>397</v>
      </c>
    </row>
    <row r="99" spans="1:7" customFormat="1" x14ac:dyDescent="0.2">
      <c r="A99" s="40"/>
      <c r="B99" s="124" t="s">
        <v>268</v>
      </c>
      <c r="C99" s="124" t="s">
        <v>268</v>
      </c>
      <c r="D99" s="93" t="s">
        <v>186</v>
      </c>
      <c r="E99" s="4">
        <f>[3]OILPROC!AJ9</f>
        <v>191.27200000000002</v>
      </c>
      <c r="F99" s="5">
        <f>[3]OILPROC!AP9</f>
        <v>160.6</v>
      </c>
    </row>
    <row r="100" spans="1:7" customFormat="1" x14ac:dyDescent="0.2">
      <c r="A100" s="40"/>
      <c r="B100" s="124" t="s">
        <v>269</v>
      </c>
      <c r="C100" s="124" t="s">
        <v>269</v>
      </c>
      <c r="D100" s="93" t="s">
        <v>186</v>
      </c>
      <c r="E100" s="4">
        <f>[3]OILPROC!AJ10</f>
        <v>2060.585</v>
      </c>
      <c r="F100" s="5">
        <f>[3]OILPROC!AP10</f>
        <v>2529.288</v>
      </c>
    </row>
    <row r="101" spans="1:7" customFormat="1" x14ac:dyDescent="0.2">
      <c r="A101" s="40"/>
      <c r="B101" s="124" t="s">
        <v>270</v>
      </c>
      <c r="C101" s="124" t="s">
        <v>270</v>
      </c>
      <c r="D101" s="93" t="s">
        <v>186</v>
      </c>
      <c r="E101" s="4">
        <f>[3]OILPROC!AJ13</f>
        <v>589.15899999999999</v>
      </c>
      <c r="F101" s="5">
        <f>[3]OILPROC!AP13</f>
        <v>607.99900000000002</v>
      </c>
    </row>
    <row r="102" spans="1:7" customFormat="1" x14ac:dyDescent="0.2">
      <c r="A102" s="40"/>
      <c r="B102" s="124" t="s">
        <v>271</v>
      </c>
      <c r="C102" s="124" t="s">
        <v>271</v>
      </c>
      <c r="D102" s="93" t="s">
        <v>186</v>
      </c>
      <c r="E102" s="4">
        <f>[3]OILPROC!AJ14</f>
        <v>26.672000000000001</v>
      </c>
      <c r="F102" s="5">
        <f>[3]OILPROC!AP14</f>
        <v>80</v>
      </c>
    </row>
    <row r="103" spans="1:7" customFormat="1" x14ac:dyDescent="0.2">
      <c r="A103" s="40"/>
      <c r="B103" s="124" t="s">
        <v>372</v>
      </c>
      <c r="C103" s="124" t="s">
        <v>372</v>
      </c>
      <c r="D103" s="93" t="s">
        <v>186</v>
      </c>
      <c r="E103" s="4">
        <f>[3]OILPROC!AJ15</f>
        <v>183.34100000000001</v>
      </c>
      <c r="F103" s="5">
        <f>[3]OILPROC!AP15</f>
        <v>158.708</v>
      </c>
    </row>
    <row r="104" spans="1:7" customFormat="1" x14ac:dyDescent="0.2">
      <c r="A104" s="40"/>
      <c r="B104" s="124" t="s">
        <v>272</v>
      </c>
      <c r="C104" s="124" t="s">
        <v>272</v>
      </c>
      <c r="D104" s="93" t="s">
        <v>186</v>
      </c>
      <c r="E104" s="4">
        <f>[3]OILPROC!AJ17</f>
        <v>264.952</v>
      </c>
      <c r="F104" s="5">
        <f>[3]OILPROC!AP17</f>
        <v>302.17200000000003</v>
      </c>
    </row>
    <row r="105" spans="1:7" customFormat="1" hidden="1" x14ac:dyDescent="0.2">
      <c r="A105" s="40"/>
      <c r="B105" s="124" t="s">
        <v>273</v>
      </c>
      <c r="C105" s="124" t="s">
        <v>273</v>
      </c>
      <c r="D105" s="93" t="s">
        <v>186</v>
      </c>
      <c r="E105" s="4">
        <f>[3]OILPROC!AJ18</f>
        <v>0</v>
      </c>
      <c r="F105" s="5">
        <f>[3]OILPROC!AP18</f>
        <v>0</v>
      </c>
    </row>
    <row r="106" spans="1:7" customFormat="1" hidden="1" x14ac:dyDescent="0.2">
      <c r="A106" s="40"/>
      <c r="B106" s="124" t="s">
        <v>274</v>
      </c>
      <c r="C106" s="124" t="s">
        <v>274</v>
      </c>
      <c r="D106" s="93" t="s">
        <v>186</v>
      </c>
      <c r="E106" s="4">
        <f>[3]OILPROC!AJ19</f>
        <v>12.178999999999998</v>
      </c>
      <c r="F106" s="5">
        <f>[3]OILPROC!AP19</f>
        <v>0</v>
      </c>
    </row>
    <row r="107" spans="1:7" customFormat="1" x14ac:dyDescent="0.2">
      <c r="A107" s="41"/>
      <c r="B107" s="133" t="s">
        <v>371</v>
      </c>
      <c r="C107" s="133" t="s">
        <v>440</v>
      </c>
      <c r="D107" s="94" t="s">
        <v>186</v>
      </c>
      <c r="E107" s="9">
        <f>[3]OILPROC!AJ21</f>
        <v>39.150000000000006</v>
      </c>
      <c r="F107" s="10">
        <f>[3]OILPROC!AP21</f>
        <v>79.262</v>
      </c>
    </row>
    <row r="108" spans="1:7" customFormat="1" x14ac:dyDescent="0.2">
      <c r="A108" s="72" t="s">
        <v>85</v>
      </c>
      <c r="B108" s="125" t="s">
        <v>86</v>
      </c>
      <c r="C108" s="125" t="s">
        <v>86</v>
      </c>
      <c r="D108" s="101"/>
      <c r="E108" s="73"/>
      <c r="F108" s="74"/>
      <c r="G108" s="168"/>
    </row>
    <row r="109" spans="1:7" customFormat="1" x14ac:dyDescent="0.2">
      <c r="A109" s="40"/>
      <c r="B109" s="1" t="s">
        <v>275</v>
      </c>
      <c r="C109" s="1" t="s">
        <v>275</v>
      </c>
      <c r="D109" s="93" t="s">
        <v>186</v>
      </c>
      <c r="E109" s="4">
        <f>'[4]3.11. VAR'!X19</f>
        <v>120.66</v>
      </c>
      <c r="F109" s="5">
        <f>'[4]3.11. VAR'!AD19</f>
        <v>105.83499999999999</v>
      </c>
    </row>
    <row r="110" spans="1:7" customFormat="1" hidden="1" x14ac:dyDescent="0.2">
      <c r="A110" s="40"/>
      <c r="B110" s="1" t="s">
        <v>276</v>
      </c>
      <c r="C110" s="1" t="s">
        <v>276</v>
      </c>
      <c r="D110" s="93" t="s">
        <v>186</v>
      </c>
      <c r="E110" s="4">
        <v>9.9999999999999995E-8</v>
      </c>
      <c r="F110" s="5">
        <v>5.0000001000000003</v>
      </c>
    </row>
    <row r="111" spans="1:7" customFormat="1" ht="29.25" customHeight="1" x14ac:dyDescent="0.2">
      <c r="A111" s="40"/>
      <c r="B111" s="1" t="s">
        <v>383</v>
      </c>
      <c r="C111" s="1" t="s">
        <v>383</v>
      </c>
      <c r="D111" s="93" t="s">
        <v>186</v>
      </c>
      <c r="E111" s="4">
        <f>'[4]3.11. VAR'!X15</f>
        <v>121.71</v>
      </c>
      <c r="F111" s="5">
        <f>'[4]3.11. VAR'!AD15</f>
        <v>92.009785078868205</v>
      </c>
    </row>
    <row r="112" spans="1:7" customFormat="1" ht="28.5" hidden="1" customHeight="1" x14ac:dyDescent="0.2">
      <c r="A112" s="40"/>
      <c r="B112" s="1" t="s">
        <v>373</v>
      </c>
      <c r="C112" s="1" t="s">
        <v>373</v>
      </c>
      <c r="D112" s="93" t="s">
        <v>186</v>
      </c>
      <c r="E112" s="4">
        <f>'[4]3.11. VAR'!X18</f>
        <v>119.48</v>
      </c>
      <c r="F112" s="5">
        <f>'[4]3.11. VAR'!AD18</f>
        <v>73.653000000000006</v>
      </c>
    </row>
    <row r="113" spans="1:7" customFormat="1" hidden="1" x14ac:dyDescent="0.2">
      <c r="A113" s="40"/>
      <c r="B113" s="1" t="s">
        <v>277</v>
      </c>
      <c r="C113" s="1" t="s">
        <v>277</v>
      </c>
      <c r="D113" s="93" t="s">
        <v>186</v>
      </c>
      <c r="E113" s="4">
        <v>0</v>
      </c>
      <c r="F113" s="5">
        <v>5</v>
      </c>
    </row>
    <row r="114" spans="1:7" customFormat="1" x14ac:dyDescent="0.2">
      <c r="A114" s="40"/>
      <c r="B114" s="1" t="s">
        <v>390</v>
      </c>
      <c r="C114" s="1" t="s">
        <v>390</v>
      </c>
      <c r="D114" s="93" t="s">
        <v>186</v>
      </c>
      <c r="E114" s="4">
        <f>'[4]3.11. VAR'!X16</f>
        <v>124.23</v>
      </c>
      <c r="F114" s="5">
        <f>'[4]3.11. VAR'!AD16</f>
        <v>109.51198240349011</v>
      </c>
    </row>
    <row r="115" spans="1:7" customFormat="1" hidden="1" x14ac:dyDescent="0.2">
      <c r="A115" s="40"/>
      <c r="B115" s="1" t="s">
        <v>374</v>
      </c>
      <c r="C115" s="1" t="s">
        <v>374</v>
      </c>
      <c r="D115" s="93" t="s">
        <v>186</v>
      </c>
      <c r="E115" s="4" t="e">
        <f>'[4]3.11. VAR'!#REF!</f>
        <v>#REF!</v>
      </c>
      <c r="F115" s="5" t="e">
        <f>'[4]3.11. VAR'!#REF!</f>
        <v>#REF!</v>
      </c>
      <c r="G115" s="168" t="s">
        <v>441</v>
      </c>
    </row>
    <row r="116" spans="1:7" customFormat="1" ht="25.5" hidden="1" x14ac:dyDescent="0.2">
      <c r="A116" s="44"/>
      <c r="B116" s="1" t="s">
        <v>278</v>
      </c>
      <c r="C116" s="1" t="s">
        <v>442</v>
      </c>
      <c r="D116" s="93" t="s">
        <v>186</v>
      </c>
      <c r="E116" s="4">
        <f>'[4]3.11. VAR'!X21</f>
        <v>38.78</v>
      </c>
      <c r="F116" s="5">
        <f>'[4]3.11. VAR'!AD21</f>
        <v>65.55</v>
      </c>
    </row>
    <row r="117" spans="1:7" customFormat="1" x14ac:dyDescent="0.2">
      <c r="A117" s="44"/>
      <c r="B117" s="1" t="s">
        <v>380</v>
      </c>
      <c r="C117" s="1" t="s">
        <v>380</v>
      </c>
      <c r="D117" s="93" t="s">
        <v>186</v>
      </c>
      <c r="E117" s="4">
        <f>'[4]3.11. VAR'!X17</f>
        <v>516.51</v>
      </c>
      <c r="F117" s="5">
        <f>'[4]3.11. VAR'!AD17</f>
        <v>480.572</v>
      </c>
    </row>
    <row r="118" spans="1:7" customFormat="1" x14ac:dyDescent="0.2">
      <c r="A118" s="44"/>
      <c r="B118" s="1" t="s">
        <v>279</v>
      </c>
      <c r="C118" s="1" t="s">
        <v>279</v>
      </c>
      <c r="D118" s="93" t="s">
        <v>186</v>
      </c>
      <c r="E118" s="4">
        <f>'[4]3.11. VAR'!X22</f>
        <v>652.33000000000004</v>
      </c>
      <c r="F118" s="5">
        <f>'[4]3.11. VAR'!AD22</f>
        <v>600</v>
      </c>
    </row>
    <row r="119" spans="1:7" customFormat="1" hidden="1" x14ac:dyDescent="0.2">
      <c r="A119" s="45"/>
      <c r="B119" s="6" t="s">
        <v>280</v>
      </c>
      <c r="C119" s="6" t="s">
        <v>374</v>
      </c>
      <c r="D119" s="94" t="s">
        <v>186</v>
      </c>
      <c r="E119" s="9" t="e">
        <f>'[4]3.11. VAR'!#REF!</f>
        <v>#REF!</v>
      </c>
      <c r="F119" s="10" t="e">
        <f>'[4]3.11. VAR'!#REF!</f>
        <v>#REF!</v>
      </c>
      <c r="G119" s="168" t="s">
        <v>443</v>
      </c>
    </row>
    <row r="120" spans="1:7" customFormat="1" hidden="1" x14ac:dyDescent="0.2">
      <c r="A120" s="72" t="s">
        <v>87</v>
      </c>
      <c r="B120" s="125" t="s">
        <v>88</v>
      </c>
      <c r="C120" s="125" t="s">
        <v>88</v>
      </c>
      <c r="D120" s="101"/>
      <c r="E120" s="73"/>
      <c r="F120" s="74"/>
    </row>
    <row r="121" spans="1:7" customFormat="1" ht="38.25" hidden="1" x14ac:dyDescent="0.2">
      <c r="A121" s="40"/>
      <c r="B121" s="1" t="s">
        <v>281</v>
      </c>
      <c r="C121" s="1" t="s">
        <v>281</v>
      </c>
      <c r="D121" s="93" t="s">
        <v>282</v>
      </c>
      <c r="E121" s="4">
        <v>100.7</v>
      </c>
      <c r="F121" s="5">
        <v>100.7</v>
      </c>
    </row>
    <row r="122" spans="1:7" customFormat="1" ht="51" hidden="1" x14ac:dyDescent="0.2">
      <c r="A122" s="41"/>
      <c r="B122" s="6" t="s">
        <v>283</v>
      </c>
      <c r="C122" s="6" t="s">
        <v>444</v>
      </c>
      <c r="D122" s="94" t="s">
        <v>282</v>
      </c>
      <c r="E122" s="9">
        <v>674.26291924991995</v>
      </c>
      <c r="F122" s="10">
        <v>674.26291924991995</v>
      </c>
    </row>
    <row r="123" spans="1:7" customFormat="1" ht="25.5" hidden="1" x14ac:dyDescent="0.2">
      <c r="A123" s="72" t="s">
        <v>89</v>
      </c>
      <c r="B123" s="125" t="s">
        <v>90</v>
      </c>
      <c r="C123" s="181" t="s">
        <v>416</v>
      </c>
      <c r="D123" s="101"/>
      <c r="E123" s="73"/>
      <c r="F123" s="74"/>
      <c r="G123" s="168" t="s">
        <v>397</v>
      </c>
    </row>
    <row r="124" spans="1:7" customFormat="1" ht="25.5" hidden="1" x14ac:dyDescent="0.2">
      <c r="A124" s="40"/>
      <c r="B124" s="1" t="s">
        <v>284</v>
      </c>
      <c r="C124" s="1" t="s">
        <v>284</v>
      </c>
      <c r="D124" s="93" t="s">
        <v>208</v>
      </c>
      <c r="E124" s="4">
        <v>13030.8</v>
      </c>
      <c r="F124" s="5">
        <v>13030.8</v>
      </c>
    </row>
    <row r="125" spans="1:7" customFormat="1" ht="25.5" hidden="1" x14ac:dyDescent="0.2">
      <c r="A125" s="40"/>
      <c r="B125" s="1" t="s">
        <v>285</v>
      </c>
      <c r="C125" s="1" t="s">
        <v>285</v>
      </c>
      <c r="D125" s="93" t="s">
        <v>208</v>
      </c>
      <c r="E125" s="4">
        <v>4152.8485770720008</v>
      </c>
      <c r="F125" s="5">
        <v>4152.8485770720008</v>
      </c>
    </row>
    <row r="126" spans="1:7" customFormat="1" ht="38.25" hidden="1" x14ac:dyDescent="0.2">
      <c r="A126" s="40"/>
      <c r="B126" s="1" t="s">
        <v>286</v>
      </c>
      <c r="C126" s="1" t="s">
        <v>445</v>
      </c>
      <c r="D126" s="93" t="s">
        <v>208</v>
      </c>
      <c r="E126" s="4">
        <v>13286.576002500002</v>
      </c>
      <c r="F126" s="5">
        <v>13286.576002500002</v>
      </c>
    </row>
    <row r="127" spans="1:7" customFormat="1" hidden="1" x14ac:dyDescent="0.2">
      <c r="A127" s="40"/>
      <c r="B127" s="1" t="s">
        <v>287</v>
      </c>
      <c r="C127" s="1" t="s">
        <v>287</v>
      </c>
      <c r="D127" s="93" t="s">
        <v>208</v>
      </c>
      <c r="E127" s="4">
        <v>24000</v>
      </c>
      <c r="F127" s="5">
        <v>24000</v>
      </c>
    </row>
    <row r="128" spans="1:7" customFormat="1" ht="25.5" hidden="1" x14ac:dyDescent="0.2">
      <c r="A128" s="40"/>
      <c r="B128" s="1" t="s">
        <v>288</v>
      </c>
      <c r="C128" s="1" t="s">
        <v>288</v>
      </c>
      <c r="D128" s="93" t="s">
        <v>39</v>
      </c>
      <c r="E128" s="4">
        <v>7142.4868145399987</v>
      </c>
      <c r="F128" s="5">
        <v>7142.4868145399987</v>
      </c>
    </row>
    <row r="129" spans="1:7" customFormat="1" hidden="1" x14ac:dyDescent="0.2">
      <c r="A129" s="72" t="s">
        <v>91</v>
      </c>
      <c r="B129" s="125" t="s">
        <v>92</v>
      </c>
      <c r="C129" s="125" t="s">
        <v>92</v>
      </c>
      <c r="D129" s="101"/>
      <c r="E129" s="73"/>
      <c r="F129" s="74"/>
    </row>
    <row r="130" spans="1:7" customFormat="1" hidden="1" x14ac:dyDescent="0.2">
      <c r="A130" s="40"/>
      <c r="B130" s="1" t="s">
        <v>289</v>
      </c>
      <c r="C130" s="1" t="s">
        <v>289</v>
      </c>
      <c r="D130" s="93" t="s">
        <v>290</v>
      </c>
      <c r="E130" s="4">
        <v>3920</v>
      </c>
      <c r="F130" s="5">
        <v>3920</v>
      </c>
    </row>
    <row r="131" spans="1:7" customFormat="1" hidden="1" x14ac:dyDescent="0.2">
      <c r="A131" s="40"/>
      <c r="B131" s="1" t="s">
        <v>291</v>
      </c>
      <c r="C131" s="1" t="s">
        <v>291</v>
      </c>
      <c r="D131" s="93" t="s">
        <v>292</v>
      </c>
      <c r="E131" s="4">
        <v>154.19182535996288</v>
      </c>
      <c r="F131" s="5">
        <v>154.19182535996288</v>
      </c>
    </row>
    <row r="132" spans="1:7" customFormat="1" hidden="1" x14ac:dyDescent="0.2">
      <c r="A132" s="40"/>
      <c r="B132" s="1" t="s">
        <v>293</v>
      </c>
      <c r="C132" s="1" t="s">
        <v>293</v>
      </c>
      <c r="D132" s="93" t="s">
        <v>186</v>
      </c>
      <c r="E132" s="4">
        <v>1669.0269391546683</v>
      </c>
      <c r="F132" s="5">
        <v>1669.0269391546683</v>
      </c>
    </row>
    <row r="133" spans="1:7" customFormat="1" hidden="1" x14ac:dyDescent="0.2">
      <c r="A133" s="40"/>
      <c r="B133" s="1" t="s">
        <v>294</v>
      </c>
      <c r="C133" s="1" t="s">
        <v>294</v>
      </c>
      <c r="D133" s="93" t="s">
        <v>186</v>
      </c>
      <c r="E133" s="4">
        <v>900</v>
      </c>
      <c r="F133" s="5">
        <v>900</v>
      </c>
    </row>
    <row r="134" spans="1:7" customFormat="1" hidden="1" x14ac:dyDescent="0.2">
      <c r="A134" s="40"/>
      <c r="B134" s="1" t="s">
        <v>295</v>
      </c>
      <c r="C134" s="1" t="s">
        <v>295</v>
      </c>
      <c r="D134" s="93" t="s">
        <v>292</v>
      </c>
      <c r="E134" s="4">
        <v>583.56542653662996</v>
      </c>
      <c r="F134" s="5">
        <v>583.56542653662996</v>
      </c>
    </row>
    <row r="135" spans="1:7" customFormat="1" ht="27.75" hidden="1" customHeight="1" x14ac:dyDescent="0.2">
      <c r="A135" s="40"/>
      <c r="B135" s="1" t="s">
        <v>296</v>
      </c>
      <c r="C135" s="1" t="s">
        <v>296</v>
      </c>
      <c r="D135" s="93" t="s">
        <v>244</v>
      </c>
      <c r="E135" s="4">
        <v>14500</v>
      </c>
      <c r="F135" s="5">
        <v>14500</v>
      </c>
    </row>
    <row r="136" spans="1:7" customFormat="1" hidden="1" x14ac:dyDescent="0.2">
      <c r="A136" s="40"/>
      <c r="B136" s="1" t="s">
        <v>297</v>
      </c>
      <c r="C136" s="1" t="s">
        <v>297</v>
      </c>
      <c r="D136" s="93" t="s">
        <v>208</v>
      </c>
      <c r="E136" s="4">
        <v>106.81027499999999</v>
      </c>
      <c r="F136" s="5">
        <v>106.81027499999999</v>
      </c>
    </row>
    <row r="137" spans="1:7" customFormat="1" hidden="1" x14ac:dyDescent="0.2">
      <c r="A137" s="40"/>
      <c r="B137" s="1" t="s">
        <v>298</v>
      </c>
      <c r="C137" s="1" t="s">
        <v>298</v>
      </c>
      <c r="D137" s="93" t="s">
        <v>244</v>
      </c>
      <c r="E137" s="4">
        <v>6103.2000000000007</v>
      </c>
      <c r="F137" s="5">
        <v>6103.2000000000007</v>
      </c>
    </row>
    <row r="138" spans="1:7" customFormat="1" ht="25.5" hidden="1" x14ac:dyDescent="0.2">
      <c r="A138" s="40"/>
      <c r="B138" s="1" t="s">
        <v>299</v>
      </c>
      <c r="C138" s="1" t="s">
        <v>299</v>
      </c>
      <c r="D138" s="93" t="s">
        <v>244</v>
      </c>
      <c r="E138" s="4">
        <v>3267.946353672</v>
      </c>
      <c r="F138" s="5">
        <v>3267.946353672</v>
      </c>
    </row>
    <row r="139" spans="1:7" customFormat="1" ht="38.25" hidden="1" x14ac:dyDescent="0.2">
      <c r="A139" s="41"/>
      <c r="B139" s="6" t="s">
        <v>300</v>
      </c>
      <c r="C139" s="6" t="s">
        <v>446</v>
      </c>
      <c r="D139" s="94" t="s">
        <v>208</v>
      </c>
      <c r="E139" s="9">
        <v>35448.992474797858</v>
      </c>
      <c r="F139" s="10">
        <v>35448.992474797858</v>
      </c>
    </row>
    <row r="140" spans="1:7" customFormat="1" ht="25.5" hidden="1" x14ac:dyDescent="0.2">
      <c r="A140" s="116" t="s">
        <v>93</v>
      </c>
      <c r="B140" s="132" t="s">
        <v>94</v>
      </c>
      <c r="C140" s="183" t="s">
        <v>417</v>
      </c>
      <c r="D140" s="117"/>
      <c r="E140" s="118"/>
      <c r="F140" s="119"/>
      <c r="G140" s="168" t="s">
        <v>397</v>
      </c>
    </row>
    <row r="141" spans="1:7" customFormat="1" ht="25.5" hidden="1" x14ac:dyDescent="0.2">
      <c r="A141" s="40"/>
      <c r="B141" s="1" t="s">
        <v>301</v>
      </c>
      <c r="C141" s="1" t="s">
        <v>301</v>
      </c>
      <c r="D141" s="93" t="s">
        <v>208</v>
      </c>
      <c r="E141" s="4" t="e">
        <f>'[4]3.15. VAR'!#REF!</f>
        <v>#REF!</v>
      </c>
      <c r="F141" s="5" t="e">
        <f>'[4]3.15. VAR'!#REF!</f>
        <v>#REF!</v>
      </c>
    </row>
    <row r="142" spans="1:7" customFormat="1" ht="38.25" hidden="1" outlineLevel="1" x14ac:dyDescent="0.2">
      <c r="A142" s="40"/>
      <c r="B142" s="1" t="s">
        <v>302</v>
      </c>
      <c r="C142" s="1" t="s">
        <v>302</v>
      </c>
      <c r="D142" s="93" t="s">
        <v>208</v>
      </c>
      <c r="E142" s="4">
        <v>9.9999999999999995E-8</v>
      </c>
      <c r="F142" s="5">
        <v>5.0000001000000003</v>
      </c>
    </row>
    <row r="143" spans="1:7" customFormat="1" ht="38.25" hidden="1" x14ac:dyDescent="0.2">
      <c r="A143" s="40"/>
      <c r="B143" s="1" t="s">
        <v>303</v>
      </c>
      <c r="C143" s="1" t="s">
        <v>303</v>
      </c>
      <c r="D143" s="93" t="s">
        <v>208</v>
      </c>
      <c r="E143" s="4" t="e">
        <f>'[4]3.15. VAR'!#REF!</f>
        <v>#REF!</v>
      </c>
      <c r="F143" s="5" t="e">
        <f>'[4]3.15. VAR'!#REF!</f>
        <v>#REF!</v>
      </c>
    </row>
    <row r="144" spans="1:7" customFormat="1" hidden="1" x14ac:dyDescent="0.2">
      <c r="A144" s="40"/>
      <c r="B144" s="1" t="s">
        <v>304</v>
      </c>
      <c r="C144" s="1" t="s">
        <v>304</v>
      </c>
      <c r="D144" s="93" t="s">
        <v>208</v>
      </c>
      <c r="E144" s="4">
        <f>'[4]3.15. VAR'!X15</f>
        <v>38.18</v>
      </c>
      <c r="F144" s="5">
        <f>'[4]3.15. VAR'!AD15</f>
        <v>37</v>
      </c>
    </row>
    <row r="145" spans="1:7" customFormat="1" hidden="1" x14ac:dyDescent="0.2">
      <c r="A145" s="41"/>
      <c r="B145" s="6" t="s">
        <v>305</v>
      </c>
      <c r="C145" s="6" t="s">
        <v>305</v>
      </c>
      <c r="D145" s="94" t="s">
        <v>208</v>
      </c>
      <c r="E145" s="9" t="e">
        <f>'[4]3.15. VAR'!#REF!</f>
        <v>#REF!</v>
      </c>
      <c r="F145" s="10" t="e">
        <f>'[4]3.15. VAR'!#REF!</f>
        <v>#REF!</v>
      </c>
    </row>
    <row r="146" spans="1:7" customFormat="1" ht="25.5" hidden="1" x14ac:dyDescent="0.2">
      <c r="A146" s="72" t="s">
        <v>95</v>
      </c>
      <c r="B146" s="125" t="s">
        <v>96</v>
      </c>
      <c r="C146" s="125" t="s">
        <v>96</v>
      </c>
      <c r="D146" s="101"/>
      <c r="E146" s="73"/>
      <c r="F146" s="74"/>
    </row>
    <row r="147" spans="1:7" customFormat="1" ht="25.5" hidden="1" x14ac:dyDescent="0.2">
      <c r="A147" s="40"/>
      <c r="B147" s="1" t="s">
        <v>306</v>
      </c>
      <c r="C147" s="1" t="s">
        <v>447</v>
      </c>
      <c r="D147" s="93" t="s">
        <v>282</v>
      </c>
      <c r="E147" s="4">
        <v>28059.829091891999</v>
      </c>
      <c r="F147" s="5">
        <v>28059.829091891999</v>
      </c>
    </row>
    <row r="148" spans="1:7" customFormat="1" ht="25.5" hidden="1" x14ac:dyDescent="0.2">
      <c r="A148" s="40"/>
      <c r="B148" s="126" t="s">
        <v>307</v>
      </c>
      <c r="C148" s="126" t="s">
        <v>448</v>
      </c>
      <c r="D148" s="93" t="s">
        <v>208</v>
      </c>
      <c r="E148" s="4">
        <v>847.996605456</v>
      </c>
      <c r="F148" s="5">
        <v>847.996605456</v>
      </c>
    </row>
    <row r="149" spans="1:7" customFormat="1" ht="38.25" hidden="1" x14ac:dyDescent="0.2">
      <c r="A149" s="40"/>
      <c r="B149" s="126" t="s">
        <v>308</v>
      </c>
      <c r="C149" s="126" t="s">
        <v>308</v>
      </c>
      <c r="D149" s="93" t="s">
        <v>208</v>
      </c>
      <c r="E149" s="4">
        <v>240.65766370799997</v>
      </c>
      <c r="F149" s="5">
        <v>240.65766370799997</v>
      </c>
    </row>
    <row r="150" spans="1:7" customFormat="1" ht="25.5" hidden="1" x14ac:dyDescent="0.2">
      <c r="A150" s="72" t="s">
        <v>97</v>
      </c>
      <c r="B150" s="125" t="s">
        <v>98</v>
      </c>
      <c r="C150" s="181" t="s">
        <v>418</v>
      </c>
      <c r="D150" s="101"/>
      <c r="E150" s="73"/>
      <c r="F150" s="74"/>
      <c r="G150" s="168" t="s">
        <v>397</v>
      </c>
    </row>
    <row r="151" spans="1:7" customFormat="1" ht="38.25" hidden="1" x14ac:dyDescent="0.2">
      <c r="A151" s="41"/>
      <c r="B151" s="6" t="s">
        <v>309</v>
      </c>
      <c r="C151" s="6" t="s">
        <v>449</v>
      </c>
      <c r="D151" s="94" t="s">
        <v>261</v>
      </c>
      <c r="E151" s="9">
        <v>11048</v>
      </c>
      <c r="F151" s="10">
        <v>11048</v>
      </c>
    </row>
    <row r="152" spans="1:7" customFormat="1" hidden="1" x14ac:dyDescent="0.2">
      <c r="A152" s="72" t="s">
        <v>99</v>
      </c>
      <c r="B152" s="125" t="s">
        <v>100</v>
      </c>
      <c r="C152" s="125" t="s">
        <v>100</v>
      </c>
      <c r="D152" s="101"/>
      <c r="E152" s="73"/>
      <c r="F152" s="74"/>
    </row>
    <row r="153" spans="1:7" customFormat="1" ht="25.5" hidden="1" x14ac:dyDescent="0.2">
      <c r="A153" s="40"/>
      <c r="B153" s="126" t="s">
        <v>310</v>
      </c>
      <c r="C153" s="126" t="s">
        <v>450</v>
      </c>
      <c r="D153" s="93" t="s">
        <v>261</v>
      </c>
      <c r="E153" s="4">
        <v>828</v>
      </c>
      <c r="F153" s="5">
        <v>828</v>
      </c>
    </row>
    <row r="154" spans="1:7" customFormat="1" ht="38.25" hidden="1" x14ac:dyDescent="0.2">
      <c r="A154" s="40"/>
      <c r="B154" s="126" t="s">
        <v>311</v>
      </c>
      <c r="C154" s="126" t="s">
        <v>451</v>
      </c>
      <c r="D154" s="93" t="s">
        <v>261</v>
      </c>
      <c r="E154" s="4">
        <v>597</v>
      </c>
      <c r="F154" s="5">
        <v>597</v>
      </c>
    </row>
    <row r="155" spans="1:7" customFormat="1" ht="25.5" hidden="1" x14ac:dyDescent="0.2">
      <c r="A155" s="40"/>
      <c r="B155" s="126" t="s">
        <v>312</v>
      </c>
      <c r="C155" s="126" t="s">
        <v>312</v>
      </c>
      <c r="D155" s="93" t="s">
        <v>261</v>
      </c>
      <c r="E155" s="4">
        <v>300</v>
      </c>
      <c r="F155" s="5">
        <v>300</v>
      </c>
    </row>
    <row r="156" spans="1:7" customFormat="1" ht="38.25" hidden="1" x14ac:dyDescent="0.2">
      <c r="A156" s="40"/>
      <c r="B156" s="126" t="s">
        <v>313</v>
      </c>
      <c r="C156" s="126" t="s">
        <v>452</v>
      </c>
      <c r="D156" s="93" t="s">
        <v>208</v>
      </c>
      <c r="E156" s="4">
        <v>3870.7542747719999</v>
      </c>
      <c r="F156" s="5">
        <v>3870.7542747719999</v>
      </c>
    </row>
    <row r="157" spans="1:7" customFormat="1" hidden="1" x14ac:dyDescent="0.2">
      <c r="A157" s="40"/>
      <c r="B157" s="126" t="s">
        <v>314</v>
      </c>
      <c r="C157" s="126" t="s">
        <v>453</v>
      </c>
      <c r="D157" s="93" t="s">
        <v>261</v>
      </c>
      <c r="E157" s="4">
        <v>1620</v>
      </c>
      <c r="F157" s="5">
        <v>1620</v>
      </c>
    </row>
    <row r="158" spans="1:7" customFormat="1" ht="51" hidden="1" x14ac:dyDescent="0.2">
      <c r="A158" s="41"/>
      <c r="B158" s="129" t="s">
        <v>315</v>
      </c>
      <c r="C158" s="129" t="s">
        <v>454</v>
      </c>
      <c r="D158" s="94" t="s">
        <v>261</v>
      </c>
      <c r="E158" s="9">
        <v>133355</v>
      </c>
      <c r="F158" s="10">
        <v>133355</v>
      </c>
    </row>
    <row r="159" spans="1:7" customFormat="1" ht="25.5" hidden="1" x14ac:dyDescent="0.2">
      <c r="A159" s="72" t="s">
        <v>101</v>
      </c>
      <c r="B159" s="125" t="s">
        <v>102</v>
      </c>
      <c r="C159" s="181" t="s">
        <v>419</v>
      </c>
      <c r="D159" s="101"/>
      <c r="E159" s="73"/>
      <c r="F159" s="74"/>
      <c r="G159" s="168" t="s">
        <v>397</v>
      </c>
    </row>
    <row r="160" spans="1:7" customFormat="1" ht="25.5" hidden="1" x14ac:dyDescent="0.2">
      <c r="A160" s="40"/>
      <c r="B160" s="126" t="s">
        <v>316</v>
      </c>
      <c r="C160" s="126" t="s">
        <v>316</v>
      </c>
      <c r="D160" s="93" t="s">
        <v>282</v>
      </c>
      <c r="E160" s="4">
        <v>9015</v>
      </c>
      <c r="F160" s="5">
        <v>9015</v>
      </c>
    </row>
    <row r="161" spans="1:7" customFormat="1" hidden="1" x14ac:dyDescent="0.2">
      <c r="A161" s="40"/>
      <c r="B161" s="126" t="s">
        <v>317</v>
      </c>
      <c r="C161" s="126" t="s">
        <v>317</v>
      </c>
      <c r="D161" s="93" t="s">
        <v>261</v>
      </c>
      <c r="E161" s="4">
        <f>'[4]3.19. VAR'!X14</f>
        <v>623</v>
      </c>
      <c r="F161" s="5">
        <f>'[4]3.19. VAR'!AD14</f>
        <v>681</v>
      </c>
    </row>
    <row r="162" spans="1:7" customFormat="1" hidden="1" x14ac:dyDescent="0.2">
      <c r="A162" s="40"/>
      <c r="B162" s="126" t="s">
        <v>318</v>
      </c>
      <c r="C162" s="126" t="s">
        <v>318</v>
      </c>
      <c r="D162" s="93" t="s">
        <v>261</v>
      </c>
      <c r="E162" s="4" t="e">
        <f>'[4]3.19. VAR'!#REF!</f>
        <v>#REF!</v>
      </c>
      <c r="F162" s="5" t="e">
        <f>'[4]3.19. VAR'!#REF!</f>
        <v>#REF!</v>
      </c>
    </row>
    <row r="163" spans="1:7" customFormat="1" ht="25.5" hidden="1" x14ac:dyDescent="0.2">
      <c r="A163" s="72" t="s">
        <v>25</v>
      </c>
      <c r="B163" s="125" t="s">
        <v>103</v>
      </c>
      <c r="C163" s="181" t="s">
        <v>420</v>
      </c>
      <c r="D163" s="101"/>
      <c r="E163" s="73"/>
      <c r="F163" s="74"/>
      <c r="G163" s="168" t="s">
        <v>397</v>
      </c>
    </row>
    <row r="164" spans="1:7" customFormat="1" hidden="1" x14ac:dyDescent="0.2">
      <c r="A164" s="40"/>
      <c r="B164" s="126" t="s">
        <v>319</v>
      </c>
      <c r="C164" s="126" t="s">
        <v>319</v>
      </c>
      <c r="D164" s="93" t="s">
        <v>261</v>
      </c>
      <c r="E164" s="4">
        <f>'[4]3.19. VAR'!X15</f>
        <v>27453.3</v>
      </c>
      <c r="F164" s="5">
        <f>'[4]3.19. VAR'!AD15</f>
        <v>27453.3</v>
      </c>
    </row>
    <row r="165" spans="1:7" customFormat="1" hidden="1" x14ac:dyDescent="0.2">
      <c r="A165" s="40"/>
      <c r="B165" s="126" t="s">
        <v>320</v>
      </c>
      <c r="C165" s="126" t="s">
        <v>320</v>
      </c>
      <c r="D165" s="93" t="s">
        <v>261</v>
      </c>
      <c r="E165" s="4" t="e">
        <f>'[4]3.19. VAR'!#REF!</f>
        <v>#REF!</v>
      </c>
      <c r="F165" s="5" t="e">
        <f>'[4]3.19. VAR'!#REF!</f>
        <v>#REF!</v>
      </c>
    </row>
    <row r="166" spans="1:7" customFormat="1" hidden="1" x14ac:dyDescent="0.2">
      <c r="A166" s="41"/>
      <c r="B166" s="129" t="s">
        <v>321</v>
      </c>
      <c r="C166" s="129" t="s">
        <v>321</v>
      </c>
      <c r="D166" s="94" t="s">
        <v>261</v>
      </c>
      <c r="E166" s="9">
        <f>'[4]3.19. VAR'!X19</f>
        <v>6162</v>
      </c>
      <c r="F166" s="10">
        <f>'[4]3.19. VAR'!AD19</f>
        <v>7201</v>
      </c>
    </row>
    <row r="167" spans="1:7" customFormat="1" hidden="1" x14ac:dyDescent="0.2">
      <c r="A167" s="72" t="s">
        <v>24</v>
      </c>
      <c r="B167" s="125" t="s">
        <v>104</v>
      </c>
      <c r="C167" s="125" t="s">
        <v>104</v>
      </c>
      <c r="D167" s="101"/>
      <c r="E167" s="73"/>
      <c r="F167" s="74"/>
    </row>
    <row r="168" spans="1:7" customFormat="1" ht="51" hidden="1" x14ac:dyDescent="0.2">
      <c r="A168" s="40"/>
      <c r="B168" s="126" t="s">
        <v>322</v>
      </c>
      <c r="C168" s="126" t="s">
        <v>455</v>
      </c>
      <c r="D168" s="93" t="s">
        <v>282</v>
      </c>
      <c r="E168" s="4">
        <v>3990</v>
      </c>
      <c r="F168" s="5">
        <v>3990</v>
      </c>
    </row>
    <row r="169" spans="1:7" customFormat="1" ht="51" hidden="1" x14ac:dyDescent="0.2">
      <c r="A169" s="41"/>
      <c r="B169" s="129" t="s">
        <v>323</v>
      </c>
      <c r="C169" s="129" t="s">
        <v>456</v>
      </c>
      <c r="D169" s="94" t="s">
        <v>282</v>
      </c>
      <c r="E169" s="9">
        <v>4240</v>
      </c>
      <c r="F169" s="10">
        <v>4240</v>
      </c>
    </row>
    <row r="170" spans="1:7" customFormat="1" hidden="1" x14ac:dyDescent="0.2">
      <c r="A170" s="41"/>
      <c r="B170" s="129" t="s">
        <v>324</v>
      </c>
      <c r="C170" s="129" t="s">
        <v>324</v>
      </c>
      <c r="D170" s="94" t="s">
        <v>282</v>
      </c>
      <c r="E170" s="9">
        <v>1300</v>
      </c>
      <c r="F170" s="10">
        <v>1300</v>
      </c>
    </row>
    <row r="171" spans="1:7" customFormat="1" hidden="1" x14ac:dyDescent="0.2">
      <c r="A171" s="116" t="s">
        <v>23</v>
      </c>
      <c r="B171" s="132" t="s">
        <v>105</v>
      </c>
      <c r="C171" s="183" t="s">
        <v>421</v>
      </c>
      <c r="D171" s="117"/>
      <c r="E171" s="118"/>
      <c r="F171" s="119"/>
      <c r="G171" s="168" t="s">
        <v>397</v>
      </c>
    </row>
    <row r="172" spans="1:7" customFormat="1" hidden="1" x14ac:dyDescent="0.2">
      <c r="A172" s="40"/>
      <c r="B172" s="126" t="s">
        <v>325</v>
      </c>
      <c r="C172" s="126" t="s">
        <v>325</v>
      </c>
      <c r="D172" s="93" t="s">
        <v>261</v>
      </c>
      <c r="E172" s="4">
        <v>68556</v>
      </c>
      <c r="F172" s="5">
        <v>68556</v>
      </c>
    </row>
    <row r="173" spans="1:7" customFormat="1" hidden="1" x14ac:dyDescent="0.2">
      <c r="A173" s="40"/>
      <c r="B173" s="126" t="s">
        <v>326</v>
      </c>
      <c r="C173" s="126" t="s">
        <v>326</v>
      </c>
      <c r="D173" s="93" t="s">
        <v>261</v>
      </c>
      <c r="E173" s="4">
        <v>3492</v>
      </c>
      <c r="F173" s="5">
        <v>3492</v>
      </c>
    </row>
    <row r="174" spans="1:7" customFormat="1" hidden="1" x14ac:dyDescent="0.2">
      <c r="A174" s="40"/>
      <c r="B174" s="126" t="s">
        <v>327</v>
      </c>
      <c r="C174" s="126" t="s">
        <v>327</v>
      </c>
      <c r="D174" s="93" t="s">
        <v>261</v>
      </c>
      <c r="E174" s="4">
        <v>22834</v>
      </c>
      <c r="F174" s="5">
        <v>22834</v>
      </c>
    </row>
    <row r="175" spans="1:7" customFormat="1" ht="25.5" hidden="1" x14ac:dyDescent="0.2">
      <c r="A175" s="41"/>
      <c r="B175" s="129" t="s">
        <v>328</v>
      </c>
      <c r="C175" s="129" t="s">
        <v>328</v>
      </c>
      <c r="D175" s="94" t="s">
        <v>261</v>
      </c>
      <c r="E175" s="9">
        <v>16236</v>
      </c>
      <c r="F175" s="10">
        <v>16236</v>
      </c>
    </row>
    <row r="176" spans="1:7" customFormat="1" ht="25.5" hidden="1" x14ac:dyDescent="0.2">
      <c r="A176" s="72" t="s">
        <v>26</v>
      </c>
      <c r="B176" s="125" t="s">
        <v>106</v>
      </c>
      <c r="C176" s="181" t="s">
        <v>422</v>
      </c>
      <c r="D176" s="101"/>
      <c r="E176" s="73"/>
      <c r="F176" s="74"/>
      <c r="G176" s="168" t="s">
        <v>397</v>
      </c>
    </row>
    <row r="177" spans="1:7" customFormat="1" ht="38.25" hidden="1" x14ac:dyDescent="0.2">
      <c r="A177" s="41"/>
      <c r="B177" s="46" t="s">
        <v>329</v>
      </c>
      <c r="C177" s="46" t="s">
        <v>329</v>
      </c>
      <c r="D177" s="94" t="s">
        <v>38</v>
      </c>
      <c r="E177" s="9">
        <f>'[4]3.24.'!X9</f>
        <v>48758.7</v>
      </c>
      <c r="F177" s="10">
        <f>'[4]3.24.'!AD9</f>
        <v>59681.370124018133</v>
      </c>
    </row>
    <row r="178" spans="1:7" customFormat="1" ht="25.5" hidden="1" x14ac:dyDescent="0.2">
      <c r="A178" s="72" t="s">
        <v>36</v>
      </c>
      <c r="B178" s="125" t="s">
        <v>37</v>
      </c>
      <c r="C178" s="125" t="s">
        <v>37</v>
      </c>
      <c r="D178" s="101"/>
      <c r="E178" s="73"/>
      <c r="F178" s="74"/>
    </row>
    <row r="179" spans="1:7" customFormat="1" hidden="1" x14ac:dyDescent="0.2">
      <c r="A179" s="40"/>
      <c r="B179" s="54" t="e">
        <f>'[4]3.23.'!#REF!</f>
        <v>#REF!</v>
      </c>
      <c r="C179" s="54"/>
      <c r="D179" s="93" t="s">
        <v>38</v>
      </c>
      <c r="E179" s="4" t="e">
        <f>'[4]3.23.'!#REF!</f>
        <v>#REF!</v>
      </c>
      <c r="F179" s="5" t="e">
        <f>'[4]3.23.'!#REF!</f>
        <v>#REF!</v>
      </c>
    </row>
    <row r="180" spans="1:7" customFormat="1" ht="51" hidden="1" x14ac:dyDescent="0.2">
      <c r="A180" s="40"/>
      <c r="B180" s="46" t="str">
        <f>'[4]3.23.'!$C$10</f>
        <v>Zərgərlik məmulatları və qiymətli metallardan onların hissələri (qalvanik örtüklü, qızıla (gümüşə) tutulmuş metallar da daxil edilməklə)</v>
      </c>
      <c r="C180" s="46"/>
      <c r="D180" s="94" t="s">
        <v>39</v>
      </c>
      <c r="E180" s="9">
        <f>'[4]3.23.'!X10</f>
        <v>10992</v>
      </c>
      <c r="F180" s="10">
        <f>'[4]3.23.'!AD10</f>
        <v>23013.543696000008</v>
      </c>
    </row>
    <row r="181" spans="1:7" customFormat="1" ht="25.5" x14ac:dyDescent="0.2">
      <c r="A181" s="75" t="s">
        <v>17</v>
      </c>
      <c r="B181" s="121" t="s">
        <v>107</v>
      </c>
      <c r="C181" s="121" t="s">
        <v>107</v>
      </c>
      <c r="D181" s="97"/>
      <c r="E181" s="63"/>
      <c r="F181" s="64"/>
    </row>
    <row r="182" spans="1:7" s="26" customFormat="1" ht="38.25" x14ac:dyDescent="0.2">
      <c r="A182" s="40"/>
      <c r="B182" s="126" t="s">
        <v>384</v>
      </c>
      <c r="C182" s="126" t="s">
        <v>457</v>
      </c>
      <c r="D182" s="93" t="s">
        <v>330</v>
      </c>
      <c r="E182" s="4">
        <f>'[4]4.'!X16</f>
        <v>22282.55</v>
      </c>
      <c r="F182" s="5">
        <f>'[4]4.'!AD16</f>
        <v>27945.539348838371</v>
      </c>
    </row>
    <row r="183" spans="1:7" s="26" customFormat="1" ht="51" x14ac:dyDescent="0.2">
      <c r="A183" s="40"/>
      <c r="B183" s="126" t="s">
        <v>331</v>
      </c>
      <c r="C183" s="126" t="s">
        <v>331</v>
      </c>
      <c r="D183" s="93" t="s">
        <v>218</v>
      </c>
      <c r="E183" s="4">
        <f>'[4]4.'!X22</f>
        <v>3326.7</v>
      </c>
      <c r="F183" s="5">
        <f>'[4]4.'!AD22</f>
        <v>2689.596</v>
      </c>
    </row>
    <row r="184" spans="1:7" s="26" customFormat="1" ht="25.5" x14ac:dyDescent="0.2">
      <c r="A184" s="41"/>
      <c r="B184" s="129" t="s">
        <v>375</v>
      </c>
      <c r="C184" s="184" t="s">
        <v>498</v>
      </c>
      <c r="D184" s="94" t="s">
        <v>330</v>
      </c>
      <c r="E184" s="9">
        <f>'[4]4.'!X18+'[4]4.'!X19</f>
        <v>596.71999999999991</v>
      </c>
      <c r="F184" s="10">
        <f>'[4]4.'!AD18+'[4]4.'!AD19</f>
        <v>4795.3</v>
      </c>
      <c r="G184" s="168" t="s">
        <v>397</v>
      </c>
    </row>
    <row r="185" spans="1:7" s="11" customFormat="1" ht="25.5" hidden="1" x14ac:dyDescent="0.2">
      <c r="A185" s="75" t="s">
        <v>18</v>
      </c>
      <c r="B185" s="121" t="s">
        <v>108</v>
      </c>
      <c r="C185" s="121" t="s">
        <v>108</v>
      </c>
      <c r="D185" s="97"/>
      <c r="E185" s="63"/>
      <c r="F185" s="66"/>
    </row>
    <row r="186" spans="1:7" s="26" customFormat="1" hidden="1" x14ac:dyDescent="0.2">
      <c r="A186" s="40"/>
      <c r="B186" s="126" t="s">
        <v>332</v>
      </c>
      <c r="C186" s="126" t="s">
        <v>332</v>
      </c>
      <c r="D186" s="93" t="s">
        <v>333</v>
      </c>
      <c r="E186" s="4" t="e">
        <f>'[4]5.'!#REF!</f>
        <v>#REF!</v>
      </c>
      <c r="F186" s="4"/>
    </row>
    <row r="187" spans="1:7" s="26" customFormat="1" ht="25.5" hidden="1" x14ac:dyDescent="0.2">
      <c r="A187" s="41"/>
      <c r="B187" s="129" t="s">
        <v>370</v>
      </c>
      <c r="C187" s="129" t="s">
        <v>370</v>
      </c>
      <c r="D187" s="94" t="s">
        <v>333</v>
      </c>
      <c r="E187" s="9">
        <f>'[4]5.'!X8</f>
        <v>360.09399999999999</v>
      </c>
      <c r="F187" s="4"/>
    </row>
    <row r="188" spans="1:7" s="11" customFormat="1" hidden="1" x14ac:dyDescent="0.2">
      <c r="A188" s="76" t="s">
        <v>27</v>
      </c>
      <c r="B188" s="130" t="s">
        <v>334</v>
      </c>
      <c r="C188" s="130" t="s">
        <v>334</v>
      </c>
      <c r="D188" s="95"/>
      <c r="E188" s="66"/>
      <c r="F188" s="66"/>
    </row>
    <row r="189" spans="1:7" s="27" customFormat="1" hidden="1" x14ac:dyDescent="0.2">
      <c r="A189" s="72" t="s">
        <v>28</v>
      </c>
      <c r="B189" s="123" t="s">
        <v>335</v>
      </c>
      <c r="C189" s="123" t="s">
        <v>335</v>
      </c>
      <c r="D189" s="101"/>
      <c r="E189" s="73"/>
      <c r="F189" s="73"/>
    </row>
    <row r="190" spans="1:7" s="17" customFormat="1" ht="25.5" hidden="1" x14ac:dyDescent="0.2">
      <c r="A190" s="42" t="s">
        <v>29</v>
      </c>
      <c r="B190" s="134" t="s">
        <v>336</v>
      </c>
      <c r="C190" s="134" t="s">
        <v>336</v>
      </c>
      <c r="D190" s="102" t="s">
        <v>337</v>
      </c>
      <c r="E190" s="17">
        <f>[5]NvR!AI6/1000</f>
        <v>238.88569999999996</v>
      </c>
    </row>
    <row r="191" spans="1:7" s="4" customFormat="1" hidden="1" x14ac:dyDescent="0.2">
      <c r="A191" s="40"/>
      <c r="B191" s="1" t="s">
        <v>338</v>
      </c>
      <c r="C191" s="178" t="s">
        <v>458</v>
      </c>
      <c r="D191" s="93" t="s">
        <v>337</v>
      </c>
      <c r="E191" s="4">
        <f>[5]NvR!AI7/1000</f>
        <v>18.565300000000001</v>
      </c>
      <c r="G191" s="168" t="s">
        <v>397</v>
      </c>
    </row>
    <row r="192" spans="1:7" s="4" customFormat="1" hidden="1" x14ac:dyDescent="0.2">
      <c r="A192" s="40"/>
      <c r="B192" s="1" t="s">
        <v>339</v>
      </c>
      <c r="C192" s="178" t="s">
        <v>459</v>
      </c>
      <c r="D192" s="93" t="s">
        <v>337</v>
      </c>
      <c r="E192" s="4">
        <f>[5]NvR!AI8/1000</f>
        <v>143.47709999999998</v>
      </c>
      <c r="G192" s="168" t="s">
        <v>397</v>
      </c>
    </row>
    <row r="193" spans="1:7" s="4" customFormat="1" hidden="1" x14ac:dyDescent="0.2">
      <c r="A193" s="40"/>
      <c r="B193" s="1" t="s">
        <v>340</v>
      </c>
      <c r="C193" s="178" t="s">
        <v>460</v>
      </c>
      <c r="D193" s="93" t="s">
        <v>337</v>
      </c>
      <c r="E193" s="4">
        <f>[5]NvR!AI9/1000</f>
        <v>8.6216000000000008</v>
      </c>
      <c r="G193" s="168" t="s">
        <v>397</v>
      </c>
    </row>
    <row r="194" spans="1:7" s="4" customFormat="1" hidden="1" x14ac:dyDescent="0.2">
      <c r="A194" s="40"/>
      <c r="B194" s="1" t="s">
        <v>341</v>
      </c>
      <c r="C194" s="178" t="s">
        <v>461</v>
      </c>
      <c r="D194" s="93" t="s">
        <v>337</v>
      </c>
      <c r="E194" s="4">
        <f>[5]NvR!AI10/1000</f>
        <v>0.41880000000000001</v>
      </c>
      <c r="G194" s="168" t="s">
        <v>397</v>
      </c>
    </row>
    <row r="195" spans="1:7" s="4" customFormat="1" hidden="1" x14ac:dyDescent="0.2">
      <c r="A195" s="40"/>
      <c r="B195" s="1" t="s">
        <v>342</v>
      </c>
      <c r="C195" s="178" t="s">
        <v>462</v>
      </c>
      <c r="D195" s="93" t="s">
        <v>337</v>
      </c>
      <c r="E195" s="4">
        <f>[5]NvR!AI11/1000</f>
        <v>67.802899999999994</v>
      </c>
      <c r="G195" s="168" t="s">
        <v>397</v>
      </c>
    </row>
    <row r="196" spans="1:7" s="4" customFormat="1" hidden="1" x14ac:dyDescent="0.2">
      <c r="A196" s="40"/>
      <c r="B196" s="124" t="s">
        <v>343</v>
      </c>
      <c r="C196" s="124" t="s">
        <v>343</v>
      </c>
      <c r="D196" s="93" t="s">
        <v>337</v>
      </c>
      <c r="E196" s="4">
        <f>[5]NvR!AI12/1000</f>
        <v>38.752099999999999</v>
      </c>
    </row>
    <row r="197" spans="1:7" s="4" customFormat="1" ht="25.5" hidden="1" x14ac:dyDescent="0.2">
      <c r="A197" s="40"/>
      <c r="B197" s="135" t="s">
        <v>344</v>
      </c>
      <c r="C197" s="185" t="s">
        <v>463</v>
      </c>
      <c r="D197" s="93" t="s">
        <v>337</v>
      </c>
      <c r="E197" s="4">
        <f>[5]NvR!AI13/1000</f>
        <v>20.994299999999999</v>
      </c>
      <c r="G197" s="168" t="s">
        <v>397</v>
      </c>
    </row>
    <row r="198" spans="1:7" s="4" customFormat="1" hidden="1" x14ac:dyDescent="0.2">
      <c r="A198" s="40"/>
      <c r="B198" s="124" t="s">
        <v>345</v>
      </c>
      <c r="C198" s="124" t="s">
        <v>345</v>
      </c>
      <c r="D198" s="93" t="s">
        <v>337</v>
      </c>
      <c r="E198" s="4">
        <f>[5]NvR!AI14/1000</f>
        <v>29.050799999999995</v>
      </c>
    </row>
    <row r="199" spans="1:7" s="4" customFormat="1" ht="25.5" hidden="1" x14ac:dyDescent="0.2">
      <c r="A199" s="41"/>
      <c r="B199" s="133" t="s">
        <v>346</v>
      </c>
      <c r="C199" s="186" t="s">
        <v>464</v>
      </c>
      <c r="D199" s="94" t="s">
        <v>337</v>
      </c>
      <c r="E199" s="9">
        <f>[5]NvR!AI15/1000</f>
        <v>16.25421428571428</v>
      </c>
      <c r="G199" s="168" t="s">
        <v>397</v>
      </c>
    </row>
    <row r="200" spans="1:7" s="17" customFormat="1" ht="25.5" hidden="1" x14ac:dyDescent="0.2">
      <c r="A200" s="42" t="s">
        <v>30</v>
      </c>
      <c r="B200" s="134" t="s">
        <v>347</v>
      </c>
      <c r="C200" s="134" t="s">
        <v>347</v>
      </c>
      <c r="D200" s="102" t="s">
        <v>348</v>
      </c>
      <c r="E200" s="17">
        <f>[5]NvR!AI16/1000</f>
        <v>96.991900000000001</v>
      </c>
    </row>
    <row r="201" spans="1:7" s="4" customFormat="1" hidden="1" x14ac:dyDescent="0.2">
      <c r="A201" s="40"/>
      <c r="B201" s="1" t="s">
        <v>338</v>
      </c>
      <c r="C201" s="178" t="s">
        <v>458</v>
      </c>
      <c r="D201" s="93" t="s">
        <v>348</v>
      </c>
      <c r="E201" s="4">
        <f>[5]NvR!AI17/1000</f>
        <v>7.0273999999999992</v>
      </c>
      <c r="G201" s="168" t="s">
        <v>397</v>
      </c>
    </row>
    <row r="202" spans="1:7" s="4" customFormat="1" hidden="1" x14ac:dyDescent="0.2">
      <c r="A202" s="40"/>
      <c r="B202" s="1" t="s">
        <v>339</v>
      </c>
      <c r="C202" s="178" t="s">
        <v>459</v>
      </c>
      <c r="D202" s="93" t="s">
        <v>348</v>
      </c>
      <c r="E202" s="4">
        <f>[5]NvR!AI18/1000</f>
        <v>13.445499999999999</v>
      </c>
      <c r="G202" s="168" t="s">
        <v>397</v>
      </c>
    </row>
    <row r="203" spans="1:7" s="4" customFormat="1" hidden="1" x14ac:dyDescent="0.2">
      <c r="A203" s="40"/>
      <c r="B203" s="1" t="s">
        <v>340</v>
      </c>
      <c r="C203" s="178" t="s">
        <v>460</v>
      </c>
      <c r="D203" s="93" t="s">
        <v>348</v>
      </c>
      <c r="E203" s="4">
        <f>[5]NvR!AI19/1000</f>
        <v>6.9711000000000007</v>
      </c>
      <c r="G203" s="168" t="s">
        <v>397</v>
      </c>
    </row>
    <row r="204" spans="1:7" s="4" customFormat="1" hidden="1" x14ac:dyDescent="0.2">
      <c r="A204" s="40"/>
      <c r="B204" s="1" t="s">
        <v>341</v>
      </c>
      <c r="C204" s="178" t="s">
        <v>461</v>
      </c>
      <c r="D204" s="93" t="s">
        <v>348</v>
      </c>
      <c r="E204" s="4">
        <f>[5]NvR!AI20/1000</f>
        <v>3.4436999999999998</v>
      </c>
      <c r="G204" s="168" t="s">
        <v>397</v>
      </c>
    </row>
    <row r="205" spans="1:7" s="4" customFormat="1" hidden="1" x14ac:dyDescent="0.2">
      <c r="A205" s="40"/>
      <c r="B205" s="1" t="s">
        <v>342</v>
      </c>
      <c r="C205" s="178" t="s">
        <v>462</v>
      </c>
      <c r="D205" s="93" t="s">
        <v>348</v>
      </c>
      <c r="E205" s="4">
        <f>[5]NvR!AI21/1000</f>
        <v>66.104199999999992</v>
      </c>
      <c r="G205" s="168" t="s">
        <v>397</v>
      </c>
    </row>
    <row r="206" spans="1:7" s="4" customFormat="1" hidden="1" x14ac:dyDescent="0.2">
      <c r="A206" s="40"/>
      <c r="B206" s="124" t="s">
        <v>343</v>
      </c>
      <c r="C206" s="124" t="s">
        <v>343</v>
      </c>
      <c r="D206" s="93" t="s">
        <v>348</v>
      </c>
      <c r="E206" s="4">
        <f>[5]NvR!AI22/1000</f>
        <v>52.996699999999997</v>
      </c>
    </row>
    <row r="207" spans="1:7" s="4" customFormat="1" ht="25.5" hidden="1" x14ac:dyDescent="0.2">
      <c r="A207" s="40"/>
      <c r="B207" s="135" t="s">
        <v>344</v>
      </c>
      <c r="C207" s="185" t="s">
        <v>463</v>
      </c>
      <c r="D207" s="93" t="s">
        <v>348</v>
      </c>
      <c r="E207" s="4">
        <f>[5]NvR!AI23/1000</f>
        <v>37.155317544248078</v>
      </c>
      <c r="G207" s="168" t="s">
        <v>397</v>
      </c>
    </row>
    <row r="208" spans="1:7" s="4" customFormat="1" hidden="1" x14ac:dyDescent="0.2">
      <c r="A208" s="41"/>
      <c r="B208" s="133" t="s">
        <v>345</v>
      </c>
      <c r="C208" s="133" t="s">
        <v>345</v>
      </c>
      <c r="D208" s="94" t="s">
        <v>348</v>
      </c>
      <c r="E208" s="9">
        <f>[5]NvR!AI24/1000</f>
        <v>13.1075</v>
      </c>
    </row>
    <row r="209" spans="1:7" s="4" customFormat="1" ht="25.5" hidden="1" x14ac:dyDescent="0.2">
      <c r="A209" s="41"/>
      <c r="B209" s="124" t="s">
        <v>346</v>
      </c>
      <c r="C209" s="180" t="s">
        <v>464</v>
      </c>
      <c r="D209" s="93" t="s">
        <v>348</v>
      </c>
      <c r="E209" s="4">
        <v>11.065379246160997</v>
      </c>
      <c r="G209" s="168" t="s">
        <v>397</v>
      </c>
    </row>
    <row r="210" spans="1:7" s="17" customFormat="1" ht="25.5" hidden="1" x14ac:dyDescent="0.2">
      <c r="A210" s="43" t="s">
        <v>32</v>
      </c>
      <c r="B210" s="134" t="s">
        <v>349</v>
      </c>
      <c r="C210" s="134" t="s">
        <v>349</v>
      </c>
      <c r="D210" s="102" t="s">
        <v>350</v>
      </c>
      <c r="E210" s="17">
        <f>[5]NvR!AI43</f>
        <v>39411.700000000004</v>
      </c>
    </row>
    <row r="211" spans="1:7" s="4" customFormat="1" ht="25.5" hidden="1" x14ac:dyDescent="0.2">
      <c r="A211" s="40"/>
      <c r="B211" s="1" t="s">
        <v>338</v>
      </c>
      <c r="C211" s="178" t="s">
        <v>458</v>
      </c>
      <c r="D211" s="93" t="s">
        <v>350</v>
      </c>
      <c r="E211" s="4">
        <f>[5]NvR!AI44</f>
        <v>377.2</v>
      </c>
      <c r="G211" s="168" t="s">
        <v>397</v>
      </c>
    </row>
    <row r="212" spans="1:7" s="4" customFormat="1" ht="25.5" hidden="1" x14ac:dyDescent="0.2">
      <c r="A212" s="40"/>
      <c r="B212" s="1" t="s">
        <v>351</v>
      </c>
      <c r="C212" s="178" t="s">
        <v>465</v>
      </c>
      <c r="D212" s="93" t="s">
        <v>350</v>
      </c>
      <c r="E212" s="4">
        <f>[5]NvR!AI45</f>
        <v>28424.600000000002</v>
      </c>
      <c r="G212" s="168" t="s">
        <v>397</v>
      </c>
    </row>
    <row r="213" spans="1:7" s="4" customFormat="1" ht="25.5" hidden="1" x14ac:dyDescent="0.2">
      <c r="A213" s="40"/>
      <c r="B213" s="1" t="s">
        <v>340</v>
      </c>
      <c r="C213" s="178" t="s">
        <v>460</v>
      </c>
      <c r="D213" s="93" t="s">
        <v>350</v>
      </c>
      <c r="E213" s="4">
        <f>[5]NvR!AI46</f>
        <v>13</v>
      </c>
      <c r="G213" s="168" t="s">
        <v>397</v>
      </c>
    </row>
    <row r="214" spans="1:7" s="4" customFormat="1" ht="25.5" hidden="1" x14ac:dyDescent="0.2">
      <c r="A214" s="40"/>
      <c r="B214" s="1" t="s">
        <v>341</v>
      </c>
      <c r="C214" s="178" t="s">
        <v>461</v>
      </c>
      <c r="D214" s="93" t="s">
        <v>350</v>
      </c>
      <c r="E214" s="4">
        <f>[5]NvR!AI47</f>
        <v>7888.6</v>
      </c>
      <c r="G214" s="168" t="s">
        <v>397</v>
      </c>
    </row>
    <row r="215" spans="1:7" s="4" customFormat="1" ht="25.5" hidden="1" x14ac:dyDescent="0.2">
      <c r="A215" s="41"/>
      <c r="B215" s="6" t="s">
        <v>352</v>
      </c>
      <c r="C215" s="179" t="s">
        <v>466</v>
      </c>
      <c r="D215" s="94" t="s">
        <v>350</v>
      </c>
      <c r="E215" s="9">
        <f>[5]NvR!AI48</f>
        <v>2708.3</v>
      </c>
      <c r="G215" s="168" t="s">
        <v>397</v>
      </c>
    </row>
    <row r="216" spans="1:7" s="27" customFormat="1" hidden="1" x14ac:dyDescent="0.2">
      <c r="A216" s="72" t="s">
        <v>31</v>
      </c>
      <c r="B216" s="123" t="s">
        <v>353</v>
      </c>
      <c r="C216" s="123" t="s">
        <v>353</v>
      </c>
      <c r="D216" s="101"/>
      <c r="E216" s="73"/>
      <c r="F216" s="73"/>
    </row>
    <row r="217" spans="1:7" s="4" customFormat="1" ht="25.5" hidden="1" x14ac:dyDescent="0.2">
      <c r="A217" s="42" t="s">
        <v>33</v>
      </c>
      <c r="B217" s="134" t="s">
        <v>354</v>
      </c>
      <c r="C217" s="187" t="s">
        <v>467</v>
      </c>
      <c r="D217" s="102" t="s">
        <v>19</v>
      </c>
      <c r="E217" s="17">
        <f>[5]NvR!AI122</f>
        <v>11323</v>
      </c>
      <c r="F217" s="17"/>
      <c r="G217" s="168" t="s">
        <v>468</v>
      </c>
    </row>
    <row r="218" spans="1:7" s="4" customFormat="1" ht="25.5" hidden="1" x14ac:dyDescent="0.2">
      <c r="A218" s="42" t="s">
        <v>34</v>
      </c>
      <c r="B218" s="136" t="s">
        <v>355</v>
      </c>
      <c r="C218" s="136" t="s">
        <v>355</v>
      </c>
      <c r="D218" s="103" t="s">
        <v>39</v>
      </c>
      <c r="E218" s="33">
        <f>[5]NvR!AI123</f>
        <v>1400</v>
      </c>
      <c r="F218" s="17"/>
    </row>
    <row r="219" spans="1:7" s="4" customFormat="1" ht="25.5" hidden="1" x14ac:dyDescent="0.2">
      <c r="A219" s="50" t="s">
        <v>35</v>
      </c>
      <c r="B219" s="136" t="s">
        <v>356</v>
      </c>
      <c r="C219" s="188" t="s">
        <v>469</v>
      </c>
      <c r="D219" s="103" t="s">
        <v>261</v>
      </c>
      <c r="E219" s="33">
        <f>[5]NvR!AI124</f>
        <v>14</v>
      </c>
      <c r="G219" s="168" t="s">
        <v>397</v>
      </c>
    </row>
    <row r="220" spans="1:7" ht="27.6" customHeight="1" x14ac:dyDescent="0.2">
      <c r="B220" s="218"/>
      <c r="C220" s="218"/>
      <c r="D220" s="218"/>
      <c r="E220" s="218"/>
      <c r="F220" s="162"/>
    </row>
  </sheetData>
  <mergeCells count="6">
    <mergeCell ref="A1:E1"/>
    <mergeCell ref="B220:E220"/>
    <mergeCell ref="A2:A3"/>
    <mergeCell ref="B2:B3"/>
    <mergeCell ref="D2:D3"/>
    <mergeCell ref="C2:C3"/>
  </mergeCells>
  <pageMargins left="0.54" right="7.8740157480315001E-2" top="0.39370078740157499" bottom="0.59055118110236204" header="0.31496062992126" footer="0.31496062992126"/>
  <pageSetup paperSize="9" firstPageNumber="5" fitToHeight="2" orientation="portrait" useFirstPageNumber="1" r:id="rId1"/>
  <headerFooter>
    <oddFooter>&amp;L &amp;Csəh.&amp;P</oddFooter>
  </headerFooter>
  <rowBreaks count="2" manualBreakCount="2">
    <brk id="58" max="19" man="1"/>
    <brk id="180" max="1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5">
    <pageSetUpPr fitToPage="1"/>
  </sheetPr>
  <dimension ref="A1:G73"/>
  <sheetViews>
    <sheetView view="pageBreakPreview" zoomScaleSheetLayoutView="100" workbookViewId="0">
      <pane xSplit="4" ySplit="3" topLeftCell="E4" activePane="bottomRight" state="frozenSplit"/>
      <selection activeCell="W14" sqref="W14"/>
      <selection pane="topRight" activeCell="W14" sqref="W14"/>
      <selection pane="bottomLeft" activeCell="W14" sqref="W14"/>
      <selection pane="bottomRight" activeCell="G11" sqref="G11"/>
    </sheetView>
  </sheetViews>
  <sheetFormatPr defaultColWidth="9.140625" defaultRowHeight="12.75" x14ac:dyDescent="0.2"/>
  <cols>
    <col min="1" max="1" width="4.85546875" style="35" customWidth="1"/>
    <col min="2" max="3" width="26.42578125" style="36" customWidth="1"/>
    <col min="4" max="4" width="10.5703125" style="90" customWidth="1"/>
    <col min="5" max="5" width="10.85546875" style="4" customWidth="1"/>
    <col min="6" max="6" width="10.85546875" style="4" hidden="1" customWidth="1"/>
    <col min="7" max="7" width="38" style="37" customWidth="1"/>
    <col min="8" max="16384" width="9.140625" style="37"/>
  </cols>
  <sheetData>
    <row r="1" spans="1:7" customFormat="1" ht="27" customHeight="1" x14ac:dyDescent="0.2">
      <c r="A1" s="205" t="s">
        <v>364</v>
      </c>
      <c r="B1" s="205"/>
      <c r="C1" s="205"/>
      <c r="D1" s="205"/>
      <c r="E1" s="205"/>
      <c r="F1" s="161"/>
    </row>
    <row r="2" spans="1:7" customFormat="1" x14ac:dyDescent="0.2">
      <c r="A2" s="214" t="s">
        <v>0</v>
      </c>
      <c r="B2" s="216" t="s">
        <v>1</v>
      </c>
      <c r="C2" s="212" t="s">
        <v>394</v>
      </c>
      <c r="D2" s="210" t="s">
        <v>2</v>
      </c>
      <c r="E2" s="158"/>
      <c r="F2" s="163"/>
      <c r="G2" s="166" t="s">
        <v>395</v>
      </c>
    </row>
    <row r="3" spans="1:7" customFormat="1" ht="12.4" customHeight="1" x14ac:dyDescent="0.2">
      <c r="A3" s="215"/>
      <c r="B3" s="217"/>
      <c r="C3" s="213"/>
      <c r="D3" s="211"/>
      <c r="E3" s="147">
        <v>2024</v>
      </c>
      <c r="F3" s="157">
        <v>2030</v>
      </c>
    </row>
    <row r="4" spans="1:7" customFormat="1" x14ac:dyDescent="0.2">
      <c r="A4" s="51"/>
      <c r="B4" s="31" t="s">
        <v>49</v>
      </c>
      <c r="C4" s="31" t="s">
        <v>49</v>
      </c>
      <c r="D4" s="104" t="s">
        <v>50</v>
      </c>
      <c r="E4" s="148">
        <f>[1]IN!AI5</f>
        <v>80.7</v>
      </c>
      <c r="F4" s="149">
        <f>[1]IN!AO5</f>
        <v>65</v>
      </c>
      <c r="G4" s="168"/>
    </row>
    <row r="5" spans="1:7" customFormat="1" x14ac:dyDescent="0.2">
      <c r="A5" s="155"/>
      <c r="B5" s="145"/>
      <c r="C5" s="145"/>
      <c r="D5" s="156"/>
      <c r="E5" s="120"/>
      <c r="F5" s="13"/>
    </row>
    <row r="6" spans="1:7" customFormat="1" ht="27" customHeight="1" x14ac:dyDescent="0.2">
      <c r="A6" s="205" t="s">
        <v>363</v>
      </c>
      <c r="B6" s="205"/>
      <c r="C6" s="205"/>
      <c r="D6" s="205"/>
      <c r="E6" s="205"/>
      <c r="F6" s="161"/>
    </row>
    <row r="7" spans="1:7" customFormat="1" x14ac:dyDescent="0.2">
      <c r="A7" s="214" t="s">
        <v>0</v>
      </c>
      <c r="B7" s="210" t="s">
        <v>1</v>
      </c>
      <c r="C7" s="212" t="s">
        <v>394</v>
      </c>
      <c r="D7" s="210" t="s">
        <v>2</v>
      </c>
      <c r="E7" s="158"/>
      <c r="F7" s="163"/>
      <c r="G7" s="166" t="s">
        <v>395</v>
      </c>
    </row>
    <row r="8" spans="1:7" customFormat="1" ht="12.4" customHeight="1" x14ac:dyDescent="0.2">
      <c r="A8" s="215"/>
      <c r="B8" s="211"/>
      <c r="C8" s="213"/>
      <c r="D8" s="211"/>
      <c r="E8" s="146">
        <f t="shared" ref="E8" si="0">E3</f>
        <v>2024</v>
      </c>
      <c r="F8" s="160">
        <v>2030</v>
      </c>
    </row>
    <row r="9" spans="1:7" customFormat="1" ht="25.5" x14ac:dyDescent="0.2">
      <c r="A9" s="65" t="s">
        <v>15</v>
      </c>
      <c r="B9" s="56" t="s">
        <v>120</v>
      </c>
      <c r="C9" s="167" t="s">
        <v>470</v>
      </c>
      <c r="D9" s="85" t="s">
        <v>6</v>
      </c>
      <c r="E9" s="66">
        <f>[1]Investisiya!AI5</f>
        <v>22106.3</v>
      </c>
      <c r="F9" s="67">
        <f>[1]Investisiya!AO5</f>
        <v>26850.744609515568</v>
      </c>
      <c r="G9" s="168" t="s">
        <v>397</v>
      </c>
    </row>
    <row r="10" spans="1:7" customFormat="1" x14ac:dyDescent="0.2">
      <c r="A10" s="41"/>
      <c r="B10" s="7" t="s">
        <v>7</v>
      </c>
      <c r="C10" s="7" t="s">
        <v>398</v>
      </c>
      <c r="D10" s="87" t="s">
        <v>4</v>
      </c>
      <c r="E10" s="9">
        <f>[1]Investisiya!AI6</f>
        <v>2.4035325916089079</v>
      </c>
      <c r="F10" s="10">
        <f>[1]Investisiya!AO6</f>
        <v>-6.2716872968243678</v>
      </c>
    </row>
    <row r="11" spans="1:7" customFormat="1" x14ac:dyDescent="0.2">
      <c r="A11" s="65" t="s">
        <v>16</v>
      </c>
      <c r="B11" s="150" t="s">
        <v>121</v>
      </c>
      <c r="C11" s="150" t="s">
        <v>494</v>
      </c>
      <c r="D11" s="85"/>
      <c r="E11" s="63"/>
      <c r="F11" s="64"/>
      <c r="G11" s="168"/>
    </row>
    <row r="12" spans="1:7" customFormat="1" ht="25.5" x14ac:dyDescent="0.2">
      <c r="A12" s="40" t="s">
        <v>21</v>
      </c>
      <c r="B12" s="151" t="s">
        <v>122</v>
      </c>
      <c r="C12" s="190" t="s">
        <v>492</v>
      </c>
      <c r="D12" s="86" t="s">
        <v>6</v>
      </c>
      <c r="E12" s="4">
        <f>[1]Investisiya!AI8</f>
        <v>18774.7</v>
      </c>
      <c r="F12" s="5">
        <f>[1]Investisiya!AO8</f>
        <v>21565.088158997463</v>
      </c>
      <c r="G12" s="168" t="s">
        <v>397</v>
      </c>
    </row>
    <row r="13" spans="1:7" customFormat="1" hidden="1" x14ac:dyDescent="0.2">
      <c r="A13" s="42"/>
      <c r="B13" s="152" t="s">
        <v>7</v>
      </c>
      <c r="C13" s="152" t="s">
        <v>398</v>
      </c>
      <c r="D13" s="91" t="s">
        <v>4</v>
      </c>
      <c r="E13" s="17">
        <f>[1]Investisiya!AI9</f>
        <v>6.46</v>
      </c>
      <c r="F13" s="18">
        <f>[1]Investisiya!AO9</f>
        <v>-2.5955300496874543</v>
      </c>
    </row>
    <row r="14" spans="1:7" customFormat="1" ht="25.5" hidden="1" x14ac:dyDescent="0.2">
      <c r="A14" s="42"/>
      <c r="B14" s="152" t="s">
        <v>376</v>
      </c>
      <c r="C14" s="152" t="s">
        <v>376</v>
      </c>
      <c r="D14" s="114" t="s">
        <v>4</v>
      </c>
      <c r="E14" s="113">
        <f t="shared" ref="E14" si="1">E12/E9*100</f>
        <v>84.929183083555372</v>
      </c>
      <c r="F14" s="112">
        <f>F12/F9*100</f>
        <v>80.314674593251553</v>
      </c>
    </row>
    <row r="15" spans="1:7" customFormat="1" ht="25.5" x14ac:dyDescent="0.2">
      <c r="A15" s="40" t="s">
        <v>22</v>
      </c>
      <c r="B15" s="151" t="s">
        <v>123</v>
      </c>
      <c r="C15" s="190" t="s">
        <v>493</v>
      </c>
      <c r="D15" s="86" t="s">
        <v>6</v>
      </c>
      <c r="E15" s="4">
        <f>[1]Investisiya!AI10</f>
        <v>3331.6</v>
      </c>
      <c r="F15" s="10">
        <f>[1]Investisiya!AO10</f>
        <v>5285.6564505181059</v>
      </c>
      <c r="G15" s="168" t="s">
        <v>397</v>
      </c>
    </row>
    <row r="16" spans="1:7" customFormat="1" hidden="1" x14ac:dyDescent="0.2">
      <c r="A16" s="40"/>
      <c r="B16" s="151" t="s">
        <v>7</v>
      </c>
      <c r="C16" s="151" t="s">
        <v>398</v>
      </c>
      <c r="D16" s="86" t="s">
        <v>4</v>
      </c>
      <c r="E16" s="4">
        <f>[1]Investisiya!AI11</f>
        <v>-15.7</v>
      </c>
      <c r="F16" s="5">
        <f>[1]Investisiya!AO11</f>
        <v>-18.778296819577136</v>
      </c>
    </row>
    <row r="17" spans="1:7" customFormat="1" ht="25.5" x14ac:dyDescent="0.2">
      <c r="A17" s="65" t="s">
        <v>8</v>
      </c>
      <c r="B17" s="150" t="s">
        <v>388</v>
      </c>
      <c r="C17" s="189" t="s">
        <v>471</v>
      </c>
      <c r="D17" s="85"/>
      <c r="E17" s="63"/>
      <c r="F17" s="64"/>
      <c r="G17" s="168" t="s">
        <v>397</v>
      </c>
    </row>
    <row r="18" spans="1:7" customFormat="1" x14ac:dyDescent="0.2">
      <c r="A18" s="40" t="s">
        <v>9</v>
      </c>
      <c r="B18" s="53" t="s">
        <v>124</v>
      </c>
      <c r="C18" s="191" t="s">
        <v>490</v>
      </c>
      <c r="D18" s="86" t="s">
        <v>6</v>
      </c>
      <c r="E18" s="4">
        <f>[1]Investisiya!AI12</f>
        <v>5852</v>
      </c>
      <c r="F18" s="5">
        <f>[1]Investisiya!AO12</f>
        <v>4663.9214676405718</v>
      </c>
      <c r="G18" s="168" t="s">
        <v>397</v>
      </c>
    </row>
    <row r="19" spans="1:7" customFormat="1" x14ac:dyDescent="0.2">
      <c r="A19" s="41" t="s">
        <v>10</v>
      </c>
      <c r="B19" s="153" t="s">
        <v>125</v>
      </c>
      <c r="C19" s="192" t="s">
        <v>491</v>
      </c>
      <c r="D19" s="87" t="s">
        <v>6</v>
      </c>
      <c r="E19" s="9">
        <f>[1]Investisiya!AI14</f>
        <v>16254.3</v>
      </c>
      <c r="F19" s="10">
        <f>[1]Investisiya!AO14</f>
        <v>22186.823141874997</v>
      </c>
      <c r="G19" s="168"/>
    </row>
    <row r="20" spans="1:7" customFormat="1" ht="25.5" hidden="1" x14ac:dyDescent="0.2">
      <c r="A20" s="65" t="s">
        <v>17</v>
      </c>
      <c r="B20" s="150" t="s">
        <v>126</v>
      </c>
      <c r="C20" s="189" t="s">
        <v>472</v>
      </c>
      <c r="D20" s="85"/>
      <c r="E20" s="63"/>
      <c r="F20" s="66"/>
      <c r="G20" s="168" t="s">
        <v>397</v>
      </c>
    </row>
    <row r="21" spans="1:7" customFormat="1" hidden="1" x14ac:dyDescent="0.2">
      <c r="A21" s="40" t="s">
        <v>127</v>
      </c>
      <c r="B21" s="151" t="s">
        <v>128</v>
      </c>
      <c r="C21" s="151" t="s">
        <v>473</v>
      </c>
      <c r="D21" s="86" t="s">
        <v>6</v>
      </c>
      <c r="E21" s="4">
        <f>[1]Investisiya!AI16</f>
        <v>13352.900000000001</v>
      </c>
      <c r="F21" s="4"/>
    </row>
    <row r="22" spans="1:7" customFormat="1" ht="25.5" hidden="1" x14ac:dyDescent="0.2">
      <c r="A22" s="40"/>
      <c r="B22" s="153" t="s">
        <v>376</v>
      </c>
      <c r="C22" s="153" t="s">
        <v>376</v>
      </c>
      <c r="D22" s="115" t="s">
        <v>4</v>
      </c>
      <c r="E22" s="39">
        <f t="shared" ref="E22" si="2">E15/E9*100</f>
        <v>15.070816916444635</v>
      </c>
      <c r="F22" s="38"/>
    </row>
    <row r="23" spans="1:7" customFormat="1" hidden="1" x14ac:dyDescent="0.2">
      <c r="A23" s="41" t="s">
        <v>129</v>
      </c>
      <c r="B23" s="8" t="s">
        <v>130</v>
      </c>
      <c r="C23" s="8" t="s">
        <v>130</v>
      </c>
      <c r="D23" s="87" t="s">
        <v>6</v>
      </c>
      <c r="E23" s="9">
        <f>[1]Investisiya!AI18</f>
        <v>8753.3999999999978</v>
      </c>
      <c r="F23" s="4"/>
    </row>
    <row r="24" spans="1:7" customFormat="1" hidden="1" x14ac:dyDescent="0.2">
      <c r="A24" s="219"/>
      <c r="B24" s="219"/>
      <c r="C24" s="219"/>
      <c r="D24" s="219"/>
      <c r="E24" s="145"/>
      <c r="F24" s="13"/>
    </row>
    <row r="25" spans="1:7" customFormat="1" x14ac:dyDescent="0.2">
      <c r="A25" s="12"/>
      <c r="B25" s="13"/>
      <c r="C25" s="13"/>
      <c r="D25" s="105"/>
      <c r="E25" s="14"/>
      <c r="F25" s="13"/>
    </row>
    <row r="26" spans="1:7" customFormat="1" ht="27" customHeight="1" x14ac:dyDescent="0.2">
      <c r="A26" s="205" t="s">
        <v>393</v>
      </c>
      <c r="B26" s="205"/>
      <c r="C26" s="205"/>
      <c r="D26" s="205"/>
      <c r="E26" s="205"/>
      <c r="F26" s="161"/>
    </row>
    <row r="27" spans="1:7" customFormat="1" x14ac:dyDescent="0.2">
      <c r="A27" s="206" t="s">
        <v>0</v>
      </c>
      <c r="B27" s="210" t="s">
        <v>1</v>
      </c>
      <c r="C27" s="164" t="s">
        <v>394</v>
      </c>
      <c r="D27" s="210" t="s">
        <v>2</v>
      </c>
      <c r="E27" s="158"/>
      <c r="F27" s="163"/>
      <c r="G27" s="193" t="s">
        <v>395</v>
      </c>
    </row>
    <row r="28" spans="1:7" customFormat="1" ht="12.4" customHeight="1" x14ac:dyDescent="0.2">
      <c r="A28" s="207"/>
      <c r="B28" s="211"/>
      <c r="C28" s="165"/>
      <c r="D28" s="211"/>
      <c r="E28" s="146">
        <f>E8</f>
        <v>2024</v>
      </c>
      <c r="F28" s="160">
        <v>2030</v>
      </c>
    </row>
    <row r="29" spans="1:7" customFormat="1" x14ac:dyDescent="0.2">
      <c r="A29" s="65" t="s">
        <v>15</v>
      </c>
      <c r="B29" s="68" t="s">
        <v>47</v>
      </c>
      <c r="C29" s="194" t="s">
        <v>474</v>
      </c>
      <c r="D29" s="85" t="s">
        <v>6</v>
      </c>
      <c r="E29" s="66">
        <f>'[6]7_10'!AI6</f>
        <v>83093.399999999994</v>
      </c>
      <c r="F29" s="67">
        <f>'[6]7_10'!AO6</f>
        <v>140165.60367535069</v>
      </c>
      <c r="G29" s="168" t="s">
        <v>397</v>
      </c>
    </row>
    <row r="30" spans="1:7" customFormat="1" x14ac:dyDescent="0.2">
      <c r="A30" s="41"/>
      <c r="B30" s="23" t="s">
        <v>7</v>
      </c>
      <c r="C30" s="23" t="s">
        <v>398</v>
      </c>
      <c r="D30" s="87" t="s">
        <v>131</v>
      </c>
      <c r="E30" s="9">
        <f>'[6]7_10'!AI7</f>
        <v>4.0710774295158387</v>
      </c>
      <c r="F30" s="10">
        <f>'[6]7_10'!AO7</f>
        <v>1.6907042801503422</v>
      </c>
    </row>
    <row r="31" spans="1:7" customFormat="1" x14ac:dyDescent="0.2">
      <c r="A31" s="69" t="s">
        <v>16</v>
      </c>
      <c r="B31" s="77" t="s">
        <v>48</v>
      </c>
      <c r="C31" s="195" t="s">
        <v>475</v>
      </c>
      <c r="D31" s="107" t="s">
        <v>6</v>
      </c>
      <c r="E31" s="66">
        <f>'[6]7_10'!AI8</f>
        <v>81090.200000000012</v>
      </c>
      <c r="F31" s="67">
        <f>'[6]7_10'!AO8</f>
        <v>134654.98237326808</v>
      </c>
      <c r="G31" s="168" t="s">
        <v>397</v>
      </c>
    </row>
    <row r="32" spans="1:7" customFormat="1" x14ac:dyDescent="0.2">
      <c r="A32" s="41"/>
      <c r="B32" s="23" t="s">
        <v>7</v>
      </c>
      <c r="C32" s="23" t="s">
        <v>398</v>
      </c>
      <c r="D32" s="87" t="s">
        <v>131</v>
      </c>
      <c r="E32" s="9">
        <f>'[6]7_10'!AI9</f>
        <v>3.7959292430079756</v>
      </c>
      <c r="F32" s="10">
        <f>'[6]7_10'!AO9</f>
        <v>1.3726533660982625</v>
      </c>
    </row>
    <row r="33" spans="1:7" customFormat="1" x14ac:dyDescent="0.2">
      <c r="A33" s="69" t="s">
        <v>8</v>
      </c>
      <c r="B33" s="77" t="s">
        <v>132</v>
      </c>
      <c r="C33" s="195" t="s">
        <v>476</v>
      </c>
      <c r="D33" s="107" t="s">
        <v>3</v>
      </c>
      <c r="E33" s="66">
        <f>'[6]8'!AI7</f>
        <v>1009.2</v>
      </c>
      <c r="F33" s="67">
        <f>'[6]8'!AO7</f>
        <v>1522.546776366572</v>
      </c>
      <c r="G33" s="168" t="s">
        <v>397</v>
      </c>
    </row>
    <row r="34" spans="1:7" customFormat="1" x14ac:dyDescent="0.2">
      <c r="A34" s="41"/>
      <c r="B34" s="23" t="s">
        <v>7</v>
      </c>
      <c r="C34" s="23" t="s">
        <v>398</v>
      </c>
      <c r="D34" s="87" t="s">
        <v>133</v>
      </c>
      <c r="E34" s="9">
        <f>'[6]8'!AI8</f>
        <v>5.7367532027486732</v>
      </c>
      <c r="F34" s="10">
        <f>'[6]8'!AO8</f>
        <v>-0.57559653024929081</v>
      </c>
    </row>
    <row r="35" spans="1:7" customFormat="1" ht="25.5" hidden="1" x14ac:dyDescent="0.2">
      <c r="A35" s="65" t="s">
        <v>9</v>
      </c>
      <c r="B35" s="56" t="s">
        <v>136</v>
      </c>
      <c r="C35" s="167" t="s">
        <v>477</v>
      </c>
      <c r="D35" s="85"/>
      <c r="E35" s="63"/>
      <c r="F35" s="67"/>
      <c r="G35" s="168" t="s">
        <v>397</v>
      </c>
    </row>
    <row r="36" spans="1:7" customFormat="1" hidden="1" x14ac:dyDescent="0.2">
      <c r="A36" s="40"/>
      <c r="B36" s="2" t="s">
        <v>137</v>
      </c>
      <c r="C36" s="196" t="s">
        <v>478</v>
      </c>
      <c r="D36" s="86" t="s">
        <v>3</v>
      </c>
      <c r="E36" s="4">
        <f>'[6]8'!AI58</f>
        <v>3729.4</v>
      </c>
      <c r="F36" s="5">
        <f>'[6]8'!AO58</f>
        <v>3861.8772140571987</v>
      </c>
      <c r="G36" s="168" t="s">
        <v>397</v>
      </c>
    </row>
    <row r="37" spans="1:7" customFormat="1" hidden="1" x14ac:dyDescent="0.2">
      <c r="A37" s="42"/>
      <c r="B37" s="16" t="s">
        <v>7</v>
      </c>
      <c r="C37" s="16" t="s">
        <v>398</v>
      </c>
      <c r="D37" s="91" t="s">
        <v>4</v>
      </c>
      <c r="E37" s="17">
        <f>'[6]8'!AI59</f>
        <v>4.0732217373558228</v>
      </c>
      <c r="F37" s="18">
        <f>'[6]8'!AO59</f>
        <v>-5.7762726567656699</v>
      </c>
    </row>
    <row r="38" spans="1:7" customFormat="1" hidden="1" x14ac:dyDescent="0.2">
      <c r="A38" s="40"/>
      <c r="B38" s="2" t="s">
        <v>138</v>
      </c>
      <c r="C38" s="196" t="s">
        <v>479</v>
      </c>
      <c r="D38" s="86" t="s">
        <v>3</v>
      </c>
      <c r="E38" s="4">
        <f>'[6]8'!AI60</f>
        <v>959.6</v>
      </c>
      <c r="F38" s="5">
        <f>'[6]8'!AO60</f>
        <v>1486.8573952721274</v>
      </c>
      <c r="G38" s="168" t="s">
        <v>397</v>
      </c>
    </row>
    <row r="39" spans="1:7" customFormat="1" hidden="1" x14ac:dyDescent="0.2">
      <c r="A39" s="42"/>
      <c r="B39" s="16" t="s">
        <v>7</v>
      </c>
      <c r="C39" s="16" t="s">
        <v>398</v>
      </c>
      <c r="D39" s="91" t="s">
        <v>4</v>
      </c>
      <c r="E39" s="17">
        <f>'[6]8'!AI61</f>
        <v>6.0952823200327089</v>
      </c>
      <c r="F39" s="18">
        <f>'[6]8'!AO61</f>
        <v>-0.49215162008501573</v>
      </c>
    </row>
    <row r="40" spans="1:7" customFormat="1" ht="25.5" x14ac:dyDescent="0.2">
      <c r="A40" s="65" t="s">
        <v>17</v>
      </c>
      <c r="B40" s="150" t="s">
        <v>392</v>
      </c>
      <c r="C40" s="150" t="s">
        <v>392</v>
      </c>
      <c r="D40" s="85" t="s">
        <v>6</v>
      </c>
      <c r="E40" s="63">
        <f>'[6]7_10'!AI11</f>
        <v>12885.5</v>
      </c>
      <c r="F40" s="64">
        <f>'[6]7_10'!AO11</f>
        <v>22229.865018928369</v>
      </c>
    </row>
    <row r="41" spans="1:7" customFormat="1" x14ac:dyDescent="0.2">
      <c r="A41" s="42"/>
      <c r="B41" s="48" t="s">
        <v>7</v>
      </c>
      <c r="C41" s="48" t="s">
        <v>398</v>
      </c>
      <c r="D41" s="87" t="s">
        <v>131</v>
      </c>
      <c r="E41" s="17">
        <f>'[6]7_10'!AI12</f>
        <v>8.6</v>
      </c>
      <c r="F41" s="18">
        <f>'[6]7_10'!AO12</f>
        <v>3.3931008231260762</v>
      </c>
    </row>
    <row r="42" spans="1:7" customFormat="1" x14ac:dyDescent="0.2">
      <c r="A42" s="65" t="s">
        <v>18</v>
      </c>
      <c r="B42" s="68" t="s">
        <v>139</v>
      </c>
      <c r="C42" s="194" t="s">
        <v>480</v>
      </c>
      <c r="D42" s="85" t="s">
        <v>19</v>
      </c>
      <c r="E42" s="63">
        <f>'[6]9'!AI7</f>
        <v>5029.8</v>
      </c>
      <c r="F42" s="64">
        <f>'[6]9'!AO7</f>
        <v>5332.3364377225043</v>
      </c>
      <c r="G42" s="168" t="s">
        <v>397</v>
      </c>
    </row>
    <row r="43" spans="1:7" customFormat="1" x14ac:dyDescent="0.2">
      <c r="A43" s="41"/>
      <c r="B43" s="23" t="s">
        <v>140</v>
      </c>
      <c r="C43" s="23" t="s">
        <v>140</v>
      </c>
      <c r="D43" s="87" t="s">
        <v>4</v>
      </c>
      <c r="E43" s="9">
        <f>'[6]9'!AI8</f>
        <v>1.339834384381362</v>
      </c>
      <c r="F43" s="10">
        <f>'[6]9'!AO8</f>
        <v>0.66729071877232116</v>
      </c>
    </row>
    <row r="44" spans="1:7" customFormat="1" ht="25.5" hidden="1" x14ac:dyDescent="0.2">
      <c r="A44" s="65" t="s">
        <v>391</v>
      </c>
      <c r="B44" s="56" t="s">
        <v>136</v>
      </c>
      <c r="C44" s="167" t="s">
        <v>477</v>
      </c>
      <c r="D44" s="85"/>
      <c r="E44" s="63"/>
      <c r="F44" s="66"/>
      <c r="G44" s="168" t="s">
        <v>397</v>
      </c>
    </row>
    <row r="45" spans="1:7" customFormat="1" ht="25.5" hidden="1" x14ac:dyDescent="0.2">
      <c r="A45" s="40"/>
      <c r="B45" s="159" t="s">
        <v>141</v>
      </c>
      <c r="C45" s="197" t="s">
        <v>481</v>
      </c>
      <c r="D45" s="86" t="s">
        <v>19</v>
      </c>
      <c r="E45" s="4">
        <f>'[6]9'!AI58</f>
        <v>31.8</v>
      </c>
      <c r="F45" s="4"/>
      <c r="G45" s="168" t="s">
        <v>397</v>
      </c>
    </row>
    <row r="46" spans="1:7" customFormat="1" hidden="1" x14ac:dyDescent="0.2">
      <c r="A46" s="42"/>
      <c r="B46" s="16" t="s">
        <v>140</v>
      </c>
      <c r="C46" s="16" t="s">
        <v>140</v>
      </c>
      <c r="D46" s="91" t="s">
        <v>4</v>
      </c>
      <c r="E46" s="17">
        <f>'[6]9'!AI59</f>
        <v>1.2738853503184657</v>
      </c>
      <c r="F46" s="17"/>
    </row>
    <row r="47" spans="1:7" customFormat="1" hidden="1" x14ac:dyDescent="0.2">
      <c r="A47" s="40"/>
      <c r="B47" s="159" t="s">
        <v>138</v>
      </c>
      <c r="C47" s="197" t="s">
        <v>479</v>
      </c>
      <c r="D47" s="86" t="s">
        <v>19</v>
      </c>
      <c r="E47" s="4">
        <f>'[6]9'!AI60</f>
        <v>4998</v>
      </c>
      <c r="F47" s="4"/>
      <c r="G47" s="168" t="s">
        <v>397</v>
      </c>
    </row>
    <row r="48" spans="1:7" customFormat="1" hidden="1" x14ac:dyDescent="0.2">
      <c r="A48" s="50"/>
      <c r="B48" s="32" t="s">
        <v>140</v>
      </c>
      <c r="C48" s="32" t="s">
        <v>140</v>
      </c>
      <c r="D48" s="106" t="s">
        <v>4</v>
      </c>
      <c r="E48" s="33">
        <f>'[6]9'!AI61</f>
        <v>1.3402542630629029</v>
      </c>
      <c r="F48" s="4"/>
    </row>
    <row r="49" spans="1:7" customFormat="1" x14ac:dyDescent="0.2">
      <c r="A49" s="22"/>
      <c r="B49" s="3"/>
      <c r="C49" s="3"/>
      <c r="D49" s="108"/>
      <c r="E49" s="4"/>
      <c r="F49" s="4"/>
    </row>
    <row r="50" spans="1:7" customFormat="1" ht="21.75" customHeight="1" x14ac:dyDescent="0.2">
      <c r="A50" s="205" t="s">
        <v>362</v>
      </c>
      <c r="B50" s="205"/>
      <c r="C50" s="205"/>
      <c r="D50" s="205"/>
      <c r="E50" s="205"/>
      <c r="F50" s="161"/>
    </row>
    <row r="51" spans="1:7" customFormat="1" x14ac:dyDescent="0.2">
      <c r="A51" s="206" t="s">
        <v>0</v>
      </c>
      <c r="B51" s="210" t="s">
        <v>1</v>
      </c>
      <c r="C51" s="164" t="s">
        <v>394</v>
      </c>
      <c r="D51" s="210" t="s">
        <v>2</v>
      </c>
      <c r="E51" s="158"/>
      <c r="F51" s="163"/>
      <c r="G51" s="193" t="s">
        <v>395</v>
      </c>
    </row>
    <row r="52" spans="1:7" customFormat="1" x14ac:dyDescent="0.2">
      <c r="A52" s="207"/>
      <c r="B52" s="211"/>
      <c r="C52" s="165"/>
      <c r="D52" s="211"/>
      <c r="E52" s="146">
        <v>2024</v>
      </c>
      <c r="F52" s="160">
        <v>2030</v>
      </c>
    </row>
    <row r="53" spans="1:7" customFormat="1" ht="25.5" x14ac:dyDescent="0.2">
      <c r="A53" s="52" t="s">
        <v>15</v>
      </c>
      <c r="B53" s="49" t="s">
        <v>5</v>
      </c>
      <c r="C53" s="198" t="s">
        <v>482</v>
      </c>
      <c r="D53" s="111" t="s">
        <v>142</v>
      </c>
      <c r="E53" s="4">
        <f>'[7]11_12'!AI6</f>
        <v>2.2000000000000002</v>
      </c>
      <c r="F53" s="5">
        <f>'[7]11_12'!AO6</f>
        <v>7.2035648256658931</v>
      </c>
      <c r="G53" s="168" t="s">
        <v>397</v>
      </c>
    </row>
    <row r="54" spans="1:7" customFormat="1" x14ac:dyDescent="0.2">
      <c r="A54" s="40" t="s">
        <v>16</v>
      </c>
      <c r="B54" s="3" t="s">
        <v>11</v>
      </c>
      <c r="C54" s="3" t="s">
        <v>11</v>
      </c>
      <c r="D54" s="86" t="s">
        <v>3</v>
      </c>
      <c r="E54" s="47"/>
      <c r="F54" s="47"/>
    </row>
    <row r="55" spans="1:7" customFormat="1" x14ac:dyDescent="0.2">
      <c r="A55" s="40" t="s">
        <v>21</v>
      </c>
      <c r="B55" s="3" t="s">
        <v>12</v>
      </c>
      <c r="C55" s="3" t="s">
        <v>12</v>
      </c>
      <c r="D55" s="86" t="s">
        <v>3</v>
      </c>
      <c r="E55" s="47"/>
      <c r="F55" s="47"/>
    </row>
    <row r="56" spans="1:7" customFormat="1" x14ac:dyDescent="0.2">
      <c r="A56" s="40" t="s">
        <v>22</v>
      </c>
      <c r="B56" s="3" t="s">
        <v>13</v>
      </c>
      <c r="C56" s="3" t="s">
        <v>13</v>
      </c>
      <c r="D56" s="86" t="s">
        <v>3</v>
      </c>
      <c r="E56" s="47"/>
      <c r="F56" s="47"/>
    </row>
    <row r="57" spans="1:7" customFormat="1" x14ac:dyDescent="0.2">
      <c r="A57" s="41" t="s">
        <v>62</v>
      </c>
      <c r="B57" s="8" t="s">
        <v>14</v>
      </c>
      <c r="C57" s="8" t="s">
        <v>14</v>
      </c>
      <c r="D57" s="87" t="s">
        <v>3</v>
      </c>
      <c r="E57" s="84"/>
      <c r="F57" s="47"/>
    </row>
    <row r="58" spans="1:7" customFormat="1" x14ac:dyDescent="0.2">
      <c r="A58" s="35"/>
      <c r="B58" s="36"/>
      <c r="C58" s="36"/>
      <c r="D58" s="90"/>
      <c r="E58" s="4"/>
      <c r="F58" s="4"/>
    </row>
    <row r="59" spans="1:7" customFormat="1" x14ac:dyDescent="0.2">
      <c r="A59" s="35"/>
      <c r="B59" s="36"/>
      <c r="C59" s="36"/>
      <c r="D59" s="90"/>
      <c r="E59" s="4"/>
      <c r="F59" s="4"/>
    </row>
    <row r="60" spans="1:7" customFormat="1" x14ac:dyDescent="0.2">
      <c r="A60" s="35"/>
      <c r="B60" s="36"/>
      <c r="C60" s="36"/>
      <c r="D60" s="90"/>
      <c r="E60" s="4"/>
      <c r="F60" s="4"/>
    </row>
    <row r="61" spans="1:7" customFormat="1" x14ac:dyDescent="0.2">
      <c r="A61" s="35"/>
      <c r="B61" s="36"/>
      <c r="C61" s="36"/>
      <c r="D61" s="90"/>
      <c r="E61" s="4"/>
      <c r="F61" s="4"/>
    </row>
    <row r="62" spans="1:7" customFormat="1" x14ac:dyDescent="0.2">
      <c r="A62" s="35"/>
      <c r="B62" s="36"/>
      <c r="C62" s="36"/>
      <c r="D62" s="90"/>
      <c r="E62" s="4"/>
      <c r="F62" s="4"/>
    </row>
    <row r="63" spans="1:7" customFormat="1" x14ac:dyDescent="0.2">
      <c r="A63" s="35"/>
      <c r="B63" s="36"/>
      <c r="C63" s="36"/>
      <c r="D63" s="90"/>
      <c r="E63" s="4"/>
      <c r="F63" s="4"/>
    </row>
    <row r="64" spans="1:7" customFormat="1" x14ac:dyDescent="0.2">
      <c r="A64" s="35"/>
      <c r="B64" s="36"/>
      <c r="C64" s="36"/>
      <c r="D64" s="90"/>
      <c r="E64" s="4"/>
      <c r="F64" s="4"/>
    </row>
    <row r="65" spans="1:6" customFormat="1" x14ac:dyDescent="0.2">
      <c r="A65" s="35"/>
      <c r="B65" s="36"/>
      <c r="C65" s="36"/>
      <c r="D65" s="90"/>
      <c r="E65" s="4"/>
      <c r="F65" s="4"/>
    </row>
    <row r="66" spans="1:6" customFormat="1" x14ac:dyDescent="0.2">
      <c r="A66" s="35"/>
      <c r="B66" s="36"/>
      <c r="C66" s="36"/>
      <c r="D66" s="90"/>
      <c r="E66" s="4"/>
      <c r="F66" s="4"/>
    </row>
    <row r="67" spans="1:6" customFormat="1" x14ac:dyDescent="0.2">
      <c r="A67" s="35"/>
      <c r="B67" s="36"/>
      <c r="C67" s="36"/>
      <c r="D67" s="90"/>
      <c r="E67" s="4"/>
      <c r="F67" s="4"/>
    </row>
    <row r="68" spans="1:6" customFormat="1" x14ac:dyDescent="0.2">
      <c r="A68" s="35"/>
      <c r="B68" s="36"/>
      <c r="C68" s="36"/>
      <c r="D68" s="90"/>
      <c r="E68" s="4"/>
      <c r="F68" s="4"/>
    </row>
    <row r="69" spans="1:6" customFormat="1" x14ac:dyDescent="0.2">
      <c r="A69" s="35"/>
      <c r="B69" s="36"/>
      <c r="C69" s="36"/>
      <c r="D69" s="90"/>
      <c r="E69" s="4"/>
      <c r="F69" s="4"/>
    </row>
    <row r="70" spans="1:6" customFormat="1" x14ac:dyDescent="0.2">
      <c r="A70" s="35"/>
      <c r="B70" s="36"/>
      <c r="C70" s="36"/>
      <c r="D70" s="90"/>
      <c r="E70" s="4"/>
      <c r="F70" s="4"/>
    </row>
    <row r="71" spans="1:6" customFormat="1" x14ac:dyDescent="0.2">
      <c r="A71" s="35"/>
      <c r="B71" s="36"/>
      <c r="C71" s="36"/>
      <c r="D71" s="90"/>
      <c r="E71" s="4"/>
      <c r="F71" s="4"/>
    </row>
    <row r="72" spans="1:6" customFormat="1" x14ac:dyDescent="0.2">
      <c r="A72" s="35"/>
      <c r="B72" s="36"/>
      <c r="C72" s="36"/>
      <c r="D72" s="90"/>
      <c r="E72" s="4"/>
      <c r="F72" s="4"/>
    </row>
    <row r="73" spans="1:6" customFormat="1" x14ac:dyDescent="0.2">
      <c r="A73" s="35"/>
      <c r="B73" s="36"/>
      <c r="C73" s="36"/>
      <c r="D73" s="90"/>
      <c r="E73" s="4"/>
      <c r="F73" s="4"/>
    </row>
  </sheetData>
  <mergeCells count="19">
    <mergeCell ref="A51:A52"/>
    <mergeCell ref="B51:B52"/>
    <mergeCell ref="D51:D52"/>
    <mergeCell ref="C2:C3"/>
    <mergeCell ref="C7:C8"/>
    <mergeCell ref="A7:A8"/>
    <mergeCell ref="A27:A28"/>
    <mergeCell ref="B27:B28"/>
    <mergeCell ref="D27:D28"/>
    <mergeCell ref="D2:D3"/>
    <mergeCell ref="A1:E1"/>
    <mergeCell ref="A6:E6"/>
    <mergeCell ref="A26:E26"/>
    <mergeCell ref="A50:E50"/>
    <mergeCell ref="A24:D24"/>
    <mergeCell ref="A2:A3"/>
    <mergeCell ref="B2:B3"/>
    <mergeCell ref="D7:D8"/>
    <mergeCell ref="B7:B8"/>
  </mergeCells>
  <pageMargins left="0.54" right="7.8740157480315001E-2" top="0.39370078740157499" bottom="0.59055118110236204" header="0.31496062992126" footer="0.31496062992126"/>
  <pageSetup paperSize="9" firstPageNumber="7" orientation="portrait" useFirstPageNumber="1" r:id="rId1"/>
  <headerFooter>
    <oddFooter>&amp;L &amp;Csəh.&amp;P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0">
    <pageSetUpPr fitToPage="1"/>
  </sheetPr>
  <dimension ref="A1:G36"/>
  <sheetViews>
    <sheetView view="pageBreakPreview" zoomScaleSheetLayoutView="100" workbookViewId="0">
      <pane xSplit="4" ySplit="3" topLeftCell="E5" activePane="bottomRight" state="frozen"/>
      <selection activeCell="W14" sqref="W14"/>
      <selection pane="topRight" activeCell="W14" sqref="W14"/>
      <selection pane="bottomLeft" activeCell="W14" sqref="W14"/>
      <selection pane="bottomRight" activeCell="H19" sqref="H19"/>
    </sheetView>
  </sheetViews>
  <sheetFormatPr defaultColWidth="9.140625" defaultRowHeight="12.75" x14ac:dyDescent="0.2"/>
  <cols>
    <col min="1" max="1" width="4.85546875" style="35" customWidth="1"/>
    <col min="2" max="3" width="26.42578125" style="36" customWidth="1"/>
    <col min="4" max="4" width="9.5703125" style="90" customWidth="1"/>
    <col min="5" max="5" width="10.85546875" style="4" customWidth="1"/>
    <col min="6" max="6" width="9.140625" style="4"/>
    <col min="7" max="7" width="38" style="37" customWidth="1"/>
    <col min="8" max="16384" width="9.140625" style="37"/>
  </cols>
  <sheetData>
    <row r="1" spans="1:7" customFormat="1" ht="27" customHeight="1" x14ac:dyDescent="0.2">
      <c r="A1" s="220" t="s">
        <v>361</v>
      </c>
      <c r="B1" s="220"/>
      <c r="C1" s="220"/>
      <c r="D1" s="220"/>
      <c r="E1" s="220"/>
    </row>
    <row r="2" spans="1:7" customFormat="1" x14ac:dyDescent="0.2">
      <c r="A2" s="214" t="s">
        <v>0</v>
      </c>
      <c r="B2" s="216" t="s">
        <v>1</v>
      </c>
      <c r="C2" s="212" t="s">
        <v>394</v>
      </c>
      <c r="D2" s="210" t="s">
        <v>2</v>
      </c>
      <c r="E2" s="158"/>
      <c r="G2" s="166" t="s">
        <v>395</v>
      </c>
    </row>
    <row r="3" spans="1:7" customFormat="1" ht="12.4" customHeight="1" x14ac:dyDescent="0.2">
      <c r="A3" s="215"/>
      <c r="B3" s="217"/>
      <c r="C3" s="213"/>
      <c r="D3" s="211"/>
      <c r="E3" s="140">
        <v>2024</v>
      </c>
    </row>
    <row r="4" spans="1:7" customFormat="1" x14ac:dyDescent="0.2">
      <c r="A4" s="72" t="s">
        <v>15</v>
      </c>
      <c r="B4" s="82" t="s">
        <v>143</v>
      </c>
      <c r="C4" s="82" t="s">
        <v>143</v>
      </c>
      <c r="D4" s="109" t="s">
        <v>144</v>
      </c>
      <c r="E4" s="83">
        <f>[8]BOP!AI9</f>
        <v>25992.027999999998</v>
      </c>
    </row>
    <row r="5" spans="1:7" customFormat="1" x14ac:dyDescent="0.2">
      <c r="A5" s="40" t="s">
        <v>134</v>
      </c>
      <c r="B5" s="3" t="s">
        <v>145</v>
      </c>
      <c r="C5" s="199" t="s">
        <v>158</v>
      </c>
      <c r="D5" s="86" t="s">
        <v>144</v>
      </c>
      <c r="E5" s="28">
        <f>[8]BOP!AI10</f>
        <v>22750.992999999999</v>
      </c>
      <c r="G5" s="168" t="s">
        <v>483</v>
      </c>
    </row>
    <row r="6" spans="1:7" customFormat="1" x14ac:dyDescent="0.2">
      <c r="A6" s="40" t="s">
        <v>135</v>
      </c>
      <c r="B6" s="3" t="s">
        <v>146</v>
      </c>
      <c r="C6" s="3" t="s">
        <v>146</v>
      </c>
      <c r="D6" s="86" t="s">
        <v>144</v>
      </c>
      <c r="E6" s="28">
        <f>[8]BOP!AI11</f>
        <v>3241.0349999999999</v>
      </c>
    </row>
    <row r="7" spans="1:7" customFormat="1" x14ac:dyDescent="0.2">
      <c r="A7" s="72" t="s">
        <v>16</v>
      </c>
      <c r="B7" s="82" t="s">
        <v>147</v>
      </c>
      <c r="C7" s="82" t="s">
        <v>147</v>
      </c>
      <c r="D7" s="109" t="s">
        <v>144</v>
      </c>
      <c r="E7" s="83">
        <f>[8]BOP!AI12</f>
        <v>17167.084000000003</v>
      </c>
    </row>
    <row r="8" spans="1:7" customFormat="1" x14ac:dyDescent="0.2">
      <c r="A8" s="40" t="s">
        <v>148</v>
      </c>
      <c r="B8" s="3" t="s">
        <v>145</v>
      </c>
      <c r="C8" s="199" t="s">
        <v>158</v>
      </c>
      <c r="D8" s="86" t="s">
        <v>144</v>
      </c>
      <c r="E8" s="28">
        <f>[8]BOP!AI13</f>
        <v>2468.8310000000001</v>
      </c>
      <c r="G8" s="168" t="s">
        <v>483</v>
      </c>
    </row>
    <row r="9" spans="1:7" customFormat="1" x14ac:dyDescent="0.2">
      <c r="A9" s="40" t="s">
        <v>149</v>
      </c>
      <c r="B9" s="3" t="s">
        <v>146</v>
      </c>
      <c r="C9" s="3" t="s">
        <v>146</v>
      </c>
      <c r="D9" s="86" t="s">
        <v>144</v>
      </c>
      <c r="E9" s="28">
        <f>[8]BOP!AI14</f>
        <v>14698.253000000001</v>
      </c>
    </row>
    <row r="10" spans="1:7" customFormat="1" x14ac:dyDescent="0.2">
      <c r="A10" s="72" t="s">
        <v>8</v>
      </c>
      <c r="B10" s="82" t="s">
        <v>150</v>
      </c>
      <c r="C10" s="82" t="s">
        <v>150</v>
      </c>
      <c r="D10" s="109" t="s">
        <v>144</v>
      </c>
      <c r="E10" s="83">
        <f>[8]BOP!AI16</f>
        <v>8120.8789999999999</v>
      </c>
    </row>
    <row r="11" spans="1:7" customFormat="1" x14ac:dyDescent="0.2">
      <c r="A11" s="141" t="s">
        <v>17</v>
      </c>
      <c r="B11" s="142" t="s">
        <v>151</v>
      </c>
      <c r="C11" s="142" t="s">
        <v>151</v>
      </c>
      <c r="D11" s="143" t="s">
        <v>144</v>
      </c>
      <c r="E11" s="144">
        <f>[8]BOP!AI19</f>
        <v>10171.723999999998</v>
      </c>
    </row>
    <row r="12" spans="1:7" customFormat="1" hidden="1" x14ac:dyDescent="0.2">
      <c r="A12" s="40" t="s">
        <v>152</v>
      </c>
      <c r="B12" s="3" t="s">
        <v>145</v>
      </c>
      <c r="C12" s="199" t="s">
        <v>158</v>
      </c>
      <c r="D12" s="86" t="s">
        <v>144</v>
      </c>
      <c r="E12" s="30">
        <f>[8]BOP!AI20</f>
        <v>3450.5910000000003</v>
      </c>
      <c r="G12" s="168" t="s">
        <v>483</v>
      </c>
    </row>
    <row r="13" spans="1:7" customFormat="1" hidden="1" x14ac:dyDescent="0.2">
      <c r="A13" s="41" t="s">
        <v>153</v>
      </c>
      <c r="B13" s="8" t="s">
        <v>146</v>
      </c>
      <c r="C13" s="8" t="s">
        <v>146</v>
      </c>
      <c r="D13" s="87" t="s">
        <v>144</v>
      </c>
      <c r="E13" s="34">
        <f>[8]BOP!AI21</f>
        <v>6721.1329999999989</v>
      </c>
    </row>
    <row r="14" spans="1:7" customFormat="1" x14ac:dyDescent="0.2">
      <c r="A14" s="12"/>
      <c r="B14" s="13"/>
      <c r="C14" s="13"/>
      <c r="D14" s="105"/>
      <c r="E14" s="14"/>
    </row>
    <row r="15" spans="1:7" customFormat="1" x14ac:dyDescent="0.2">
      <c r="A15" s="12"/>
      <c r="B15" s="13"/>
      <c r="C15" s="13"/>
      <c r="D15" s="105"/>
      <c r="E15" s="14"/>
    </row>
    <row r="16" spans="1:7" customFormat="1" ht="27" customHeight="1" x14ac:dyDescent="0.2">
      <c r="A16" s="220" t="s">
        <v>360</v>
      </c>
      <c r="B16" s="220"/>
      <c r="C16" s="220"/>
      <c r="D16" s="220"/>
      <c r="E16" s="220"/>
    </row>
    <row r="17" spans="1:7" customFormat="1" x14ac:dyDescent="0.2">
      <c r="A17" s="206" t="s">
        <v>0</v>
      </c>
      <c r="B17" s="208" t="s">
        <v>1</v>
      </c>
      <c r="C17" s="212" t="s">
        <v>394</v>
      </c>
      <c r="D17" s="210" t="s">
        <v>2</v>
      </c>
      <c r="E17" s="158"/>
      <c r="G17" s="166" t="s">
        <v>395</v>
      </c>
    </row>
    <row r="18" spans="1:7" customFormat="1" ht="12.4" customHeight="1" x14ac:dyDescent="0.2">
      <c r="A18" s="207"/>
      <c r="B18" s="209"/>
      <c r="C18" s="213"/>
      <c r="D18" s="211"/>
      <c r="E18" s="147"/>
    </row>
    <row r="19" spans="1:7" customFormat="1" ht="25.5" x14ac:dyDescent="0.2">
      <c r="A19" s="78" t="s">
        <v>154</v>
      </c>
      <c r="B19" s="58" t="s">
        <v>155</v>
      </c>
      <c r="C19" s="200" t="s">
        <v>484</v>
      </c>
      <c r="D19" s="88" t="s">
        <v>144</v>
      </c>
      <c r="E19" s="59">
        <f>[8]BOP!AI4</f>
        <v>4671.1079999999984</v>
      </c>
      <c r="G19" s="168" t="s">
        <v>483</v>
      </c>
    </row>
    <row r="20" spans="1:7" s="16" customFormat="1" x14ac:dyDescent="0.2">
      <c r="A20" s="42" t="s">
        <v>156</v>
      </c>
      <c r="B20" s="16" t="s">
        <v>157</v>
      </c>
      <c r="C20" s="16" t="s">
        <v>157</v>
      </c>
      <c r="D20" s="91" t="s">
        <v>144</v>
      </c>
      <c r="E20" s="17">
        <f>[8]BOP!AI8</f>
        <v>8824.9439999999959</v>
      </c>
    </row>
    <row r="21" spans="1:7" s="3" customFormat="1" x14ac:dyDescent="0.2">
      <c r="A21" s="40"/>
      <c r="B21" s="3" t="s">
        <v>158</v>
      </c>
      <c r="C21" s="3" t="s">
        <v>158</v>
      </c>
      <c r="D21" s="86" t="s">
        <v>144</v>
      </c>
      <c r="E21" s="4">
        <f>[8]BOP!AI10-[8]BOP!AI13</f>
        <v>20282.161999999997</v>
      </c>
    </row>
    <row r="22" spans="1:7" s="3" customFormat="1" x14ac:dyDescent="0.2">
      <c r="A22" s="40"/>
      <c r="B22" s="3" t="s">
        <v>146</v>
      </c>
      <c r="C22" s="3" t="s">
        <v>146</v>
      </c>
      <c r="D22" s="86" t="s">
        <v>144</v>
      </c>
      <c r="E22" s="4">
        <f>[8]BOP!AI11-[8]BOP!AI14</f>
        <v>-11457.218000000001</v>
      </c>
    </row>
    <row r="23" spans="1:7" s="16" customFormat="1" x14ac:dyDescent="0.2">
      <c r="A23" s="42" t="s">
        <v>159</v>
      </c>
      <c r="B23" s="16" t="s">
        <v>160</v>
      </c>
      <c r="C23" s="16" t="s">
        <v>160</v>
      </c>
      <c r="D23" s="91" t="s">
        <v>144</v>
      </c>
      <c r="E23" s="17">
        <f>[8]BOP!AI15</f>
        <v>-2050.8449999999984</v>
      </c>
    </row>
    <row r="24" spans="1:7" s="3" customFormat="1" x14ac:dyDescent="0.2">
      <c r="A24" s="40"/>
      <c r="B24" s="3" t="s">
        <v>158</v>
      </c>
      <c r="C24" s="3" t="s">
        <v>158</v>
      </c>
      <c r="D24" s="86" t="s">
        <v>144</v>
      </c>
      <c r="E24" s="4">
        <f>[8]BOP!AI17-[8]BOP!AI20</f>
        <v>-1843.0560000000003</v>
      </c>
    </row>
    <row r="25" spans="1:7" s="3" customFormat="1" x14ac:dyDescent="0.2">
      <c r="A25" s="40"/>
      <c r="B25" s="3" t="s">
        <v>146</v>
      </c>
      <c r="C25" s="3" t="s">
        <v>146</v>
      </c>
      <c r="D25" s="86" t="s">
        <v>144</v>
      </c>
      <c r="E25" s="4">
        <f>[8]BOP!AI18-[8]BOP!AI21</f>
        <v>-207.78899999999885</v>
      </c>
    </row>
    <row r="26" spans="1:7" s="16" customFormat="1" x14ac:dyDescent="0.2">
      <c r="A26" s="42" t="s">
        <v>161</v>
      </c>
      <c r="B26" s="16" t="s">
        <v>162</v>
      </c>
      <c r="C26" s="201" t="s">
        <v>485</v>
      </c>
      <c r="D26" s="91" t="s">
        <v>144</v>
      </c>
      <c r="E26" s="17">
        <f>[8]BOP!AI22</f>
        <v>-2734.7349999999997</v>
      </c>
      <c r="G26" s="168" t="s">
        <v>483</v>
      </c>
    </row>
    <row r="27" spans="1:7" s="16" customFormat="1" x14ac:dyDescent="0.2">
      <c r="A27" s="50" t="s">
        <v>163</v>
      </c>
      <c r="B27" s="32" t="s">
        <v>164</v>
      </c>
      <c r="C27" s="202" t="s">
        <v>486</v>
      </c>
      <c r="D27" s="106" t="s">
        <v>144</v>
      </c>
      <c r="E27" s="33">
        <f>[8]BOP!AI29</f>
        <v>631.74400000000014</v>
      </c>
      <c r="G27" s="168" t="s">
        <v>483</v>
      </c>
    </row>
    <row r="28" spans="1:7" s="21" customFormat="1" hidden="1" x14ac:dyDescent="0.2">
      <c r="A28" s="79" t="s">
        <v>165</v>
      </c>
      <c r="B28" s="80" t="s">
        <v>166</v>
      </c>
      <c r="C28" s="80" t="s">
        <v>166</v>
      </c>
      <c r="D28" s="110" t="s">
        <v>144</v>
      </c>
      <c r="E28" s="81">
        <f>[8]BOP!AI33</f>
        <v>-1.4449999999999998</v>
      </c>
    </row>
    <row r="29" spans="1:7" s="21" customFormat="1" hidden="1" x14ac:dyDescent="0.2">
      <c r="A29" s="79" t="s">
        <v>167</v>
      </c>
      <c r="B29" s="80" t="s">
        <v>168</v>
      </c>
      <c r="C29" s="80" t="s">
        <v>168</v>
      </c>
      <c r="D29" s="110" t="s">
        <v>144</v>
      </c>
      <c r="E29" s="81">
        <f>[8]BOP!AI36</f>
        <v>-6628.8765000000003</v>
      </c>
    </row>
    <row r="30" spans="1:7" s="16" customFormat="1" hidden="1" x14ac:dyDescent="0.2">
      <c r="A30" s="42" t="s">
        <v>169</v>
      </c>
      <c r="B30" s="16" t="s">
        <v>170</v>
      </c>
      <c r="C30" s="16" t="s">
        <v>170</v>
      </c>
      <c r="D30" s="91" t="s">
        <v>144</v>
      </c>
      <c r="E30" s="17">
        <v>-878.27441141948566</v>
      </c>
    </row>
    <row r="31" spans="1:7" s="16" customFormat="1" hidden="1" x14ac:dyDescent="0.2">
      <c r="A31" s="42" t="s">
        <v>171</v>
      </c>
      <c r="B31" s="16" t="s">
        <v>172</v>
      </c>
      <c r="C31" s="16" t="s">
        <v>172</v>
      </c>
      <c r="D31" s="91" t="s">
        <v>144</v>
      </c>
      <c r="E31" s="17">
        <v>450.2</v>
      </c>
    </row>
    <row r="32" spans="1:7" s="16" customFormat="1" hidden="1" x14ac:dyDescent="0.2">
      <c r="A32" s="42" t="s">
        <v>173</v>
      </c>
      <c r="B32" s="16" t="s">
        <v>174</v>
      </c>
      <c r="C32" s="16" t="s">
        <v>174</v>
      </c>
      <c r="D32" s="91" t="s">
        <v>144</v>
      </c>
      <c r="E32" s="17">
        <v>-419.74566743827165</v>
      </c>
    </row>
    <row r="33" spans="1:7" s="16" customFormat="1" hidden="1" x14ac:dyDescent="0.2">
      <c r="A33" s="42" t="s">
        <v>175</v>
      </c>
      <c r="B33" s="16" t="s">
        <v>176</v>
      </c>
      <c r="C33" s="16" t="s">
        <v>176</v>
      </c>
      <c r="D33" s="91" t="s">
        <v>144</v>
      </c>
      <c r="E33" s="17">
        <v>0</v>
      </c>
    </row>
    <row r="34" spans="1:7" s="16" customFormat="1" hidden="1" x14ac:dyDescent="0.2">
      <c r="A34" s="42" t="s">
        <v>177</v>
      </c>
      <c r="B34" s="16" t="s">
        <v>178</v>
      </c>
      <c r="C34" s="16" t="s">
        <v>178</v>
      </c>
      <c r="D34" s="91" t="s">
        <v>144</v>
      </c>
      <c r="E34" s="17">
        <v>-1822.949987053815</v>
      </c>
    </row>
    <row r="35" spans="1:7" s="16" customFormat="1" ht="25.5" hidden="1" x14ac:dyDescent="0.2">
      <c r="A35" s="72" t="s">
        <v>41</v>
      </c>
      <c r="B35" s="82" t="s">
        <v>40</v>
      </c>
      <c r="C35" s="203" t="s">
        <v>487</v>
      </c>
      <c r="D35" s="109" t="s">
        <v>144</v>
      </c>
      <c r="E35" s="73">
        <f>-[8]BOP!AI57</f>
        <v>-2065.8995000000018</v>
      </c>
      <c r="G35" s="168" t="s">
        <v>483</v>
      </c>
    </row>
    <row r="36" spans="1:7" s="21" customFormat="1" ht="25.5" hidden="1" x14ac:dyDescent="0.2">
      <c r="A36" s="79" t="s">
        <v>42</v>
      </c>
      <c r="B36" s="80" t="s">
        <v>179</v>
      </c>
      <c r="C36" s="204" t="s">
        <v>488</v>
      </c>
      <c r="D36" s="110" t="s">
        <v>144</v>
      </c>
      <c r="E36" s="81">
        <f>[8]BOP!AI61</f>
        <v>-106.68600000000001</v>
      </c>
      <c r="G36" s="168" t="s">
        <v>483</v>
      </c>
    </row>
  </sheetData>
  <mergeCells count="10">
    <mergeCell ref="A1:E1"/>
    <mergeCell ref="A16:E16"/>
    <mergeCell ref="A17:A18"/>
    <mergeCell ref="B17:B18"/>
    <mergeCell ref="D17:D18"/>
    <mergeCell ref="A2:A3"/>
    <mergeCell ref="B2:B3"/>
    <mergeCell ref="D2:D3"/>
    <mergeCell ref="C2:C3"/>
    <mergeCell ref="C17:C18"/>
  </mergeCells>
  <pageMargins left="0.54" right="7.8740157480315001E-2" top="0.39370078740157499" bottom="0.59055118110236204" header="0.31496062992126" footer="0.31496062992126"/>
  <pageSetup paperSize="9" firstPageNumber="8" orientation="portrait" useFirstPageNumber="1" r:id="rId1"/>
  <headerFooter>
    <oddFooter>&amp;L &amp;Csəh.&amp;P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2.4.1.1.</vt:lpstr>
      <vt:lpstr>2.4.1.2.</vt:lpstr>
      <vt:lpstr>2.4.1.3.</vt:lpstr>
      <vt:lpstr>2.4.1.4.</vt:lpstr>
      <vt:lpstr>2.4.1.5.-7.</vt:lpstr>
      <vt:lpstr>2.4.1.13.-14.</vt:lpstr>
      <vt:lpstr>'2.4.1.1.'!Print_Area</vt:lpstr>
      <vt:lpstr>'2.4.1.13.-14.'!Print_Area</vt:lpstr>
      <vt:lpstr>'2.4.1.2.'!Print_Area</vt:lpstr>
      <vt:lpstr>'2.4.1.3.'!Print_Area</vt:lpstr>
      <vt:lpstr>'2.4.1.4.'!Print_Area</vt:lpstr>
      <vt:lpstr>'2.4.1.5.-7.'!Print_Area</vt:lpstr>
      <vt:lpstr>'2.4.1.1.'!Print_Titles</vt:lpstr>
      <vt:lpstr>'2.4.1.2.'!Print_Titles</vt:lpstr>
      <vt:lpstr>'2.4.1.3.'!Print_Titles</vt:lpstr>
      <vt:lpstr>'2.4.1.4.'!Print_Titles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İlqar F. Behbudov</cp:lastModifiedBy>
  <cp:lastPrinted>2023-08-03T11:34:38Z</cp:lastPrinted>
  <dcterms:created xsi:type="dcterms:W3CDTF">2010-07-30T05:43:11Z</dcterms:created>
  <dcterms:modified xsi:type="dcterms:W3CDTF">2026-10-05T10:12:24Z</dcterms:modified>
</cp:coreProperties>
</file>